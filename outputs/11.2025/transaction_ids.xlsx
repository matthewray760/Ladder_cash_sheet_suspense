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clearwateranalytics-my.sharepoint.com/personal/matthewray_clearwateranalytics_com/Documents/Desktop/Ladder/Python/GL_Entries/outputs/11.2025/"/>
    </mc:Choice>
  </mc:AlternateContent>
  <xr:revisionPtr revIDLastSave="75" documentId="11_94A995E9E0378D7E57DFA85F1FDEC908E6431721" xr6:coauthVersionLast="47" xr6:coauthVersionMax="47" xr10:uidLastSave="{99FFFED3-154D-4DFC-8377-BC551A25217A}"/>
  <bookViews>
    <workbookView xWindow="-28920" yWindow="-120" windowWidth="29040" windowHeight="15720" activeTab="4" xr2:uid="{00000000-000D-0000-FFFF-FFFF00000000}"/>
  </bookViews>
  <sheets>
    <sheet name="bulk_upload" sheetId="1" r:id="rId1"/>
    <sheet name="raw" sheetId="2" r:id="rId2"/>
    <sheet name="Sheet1" sheetId="3" r:id="rId3"/>
    <sheet name="Sheet2" sheetId="4" r:id="rId4"/>
    <sheet name="bulk_upload (2)" sheetId="5" r:id="rId5"/>
    <sheet name="Sheet4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4" i="5" l="1"/>
  <c r="E64" i="5"/>
  <c r="D64" i="5"/>
  <c r="I63" i="5"/>
  <c r="E63" i="5"/>
  <c r="D63" i="5"/>
  <c r="I62" i="5"/>
  <c r="E62" i="5"/>
  <c r="D62" i="5"/>
  <c r="I61" i="5"/>
  <c r="E61" i="5"/>
  <c r="D61" i="5"/>
  <c r="I60" i="5"/>
  <c r="E60" i="5"/>
  <c r="D60" i="5"/>
  <c r="I59" i="5"/>
  <c r="E59" i="5"/>
  <c r="D59" i="5"/>
  <c r="I58" i="5"/>
  <c r="E58" i="5"/>
  <c r="D58" i="5"/>
  <c r="I57" i="5"/>
  <c r="E57" i="5"/>
  <c r="D57" i="5"/>
  <c r="I56" i="5"/>
  <c r="E56" i="5"/>
  <c r="D56" i="5"/>
  <c r="I55" i="5"/>
  <c r="E55" i="5"/>
  <c r="D55" i="5"/>
  <c r="I54" i="5"/>
  <c r="E54" i="5"/>
  <c r="D54" i="5"/>
  <c r="I53" i="5"/>
  <c r="E53" i="5"/>
  <c r="D53" i="5"/>
  <c r="I52" i="5"/>
  <c r="E52" i="5"/>
  <c r="D52" i="5"/>
  <c r="I51" i="5"/>
  <c r="E51" i="5"/>
  <c r="D51" i="5"/>
  <c r="I50" i="5"/>
  <c r="E50" i="5"/>
  <c r="D50" i="5"/>
  <c r="I49" i="5"/>
  <c r="E49" i="5"/>
  <c r="D49" i="5"/>
  <c r="I48" i="5"/>
  <c r="E48" i="5"/>
  <c r="D48" i="5"/>
  <c r="I47" i="5"/>
  <c r="E47" i="5"/>
  <c r="D47" i="5"/>
  <c r="I46" i="5"/>
  <c r="E46" i="5"/>
  <c r="D46" i="5"/>
  <c r="I45" i="5"/>
  <c r="E45" i="5"/>
  <c r="D45" i="5"/>
  <c r="I44" i="5"/>
  <c r="E44" i="5"/>
  <c r="D44" i="5"/>
  <c r="I43" i="5"/>
  <c r="E43" i="5"/>
  <c r="D43" i="5"/>
  <c r="I42" i="5"/>
  <c r="E42" i="5"/>
  <c r="D42" i="5"/>
  <c r="I41" i="5"/>
  <c r="E41" i="5"/>
  <c r="D41" i="5"/>
  <c r="I40" i="5"/>
  <c r="E40" i="5"/>
  <c r="D40" i="5"/>
  <c r="I39" i="5"/>
  <c r="E39" i="5"/>
  <c r="D39" i="5"/>
  <c r="I38" i="5"/>
  <c r="E38" i="5"/>
  <c r="D38" i="5"/>
  <c r="I37" i="5"/>
  <c r="E37" i="5"/>
  <c r="D37" i="5"/>
  <c r="I36" i="5"/>
  <c r="E36" i="5"/>
  <c r="D36" i="5"/>
  <c r="I35" i="5"/>
  <c r="E35" i="5"/>
  <c r="D35" i="5"/>
  <c r="I34" i="5"/>
  <c r="E34" i="5"/>
  <c r="D34" i="5"/>
  <c r="I33" i="5"/>
  <c r="E33" i="5"/>
  <c r="D33" i="5"/>
  <c r="I32" i="5"/>
  <c r="E32" i="5"/>
  <c r="D32" i="5"/>
  <c r="I31" i="5"/>
  <c r="E31" i="5"/>
  <c r="D31" i="5"/>
  <c r="I30" i="5"/>
  <c r="E30" i="5"/>
  <c r="D30" i="5"/>
  <c r="I29" i="5"/>
  <c r="E29" i="5"/>
  <c r="D29" i="5"/>
  <c r="I28" i="5"/>
  <c r="E28" i="5"/>
  <c r="D28" i="5"/>
  <c r="I27" i="5"/>
  <c r="E27" i="5"/>
  <c r="D27" i="5"/>
  <c r="I26" i="5"/>
  <c r="E26" i="5"/>
  <c r="D26" i="5"/>
  <c r="I25" i="5"/>
  <c r="E25" i="5"/>
  <c r="D25" i="5"/>
  <c r="I24" i="5"/>
  <c r="E24" i="5"/>
  <c r="D24" i="5"/>
  <c r="I23" i="5"/>
  <c r="E23" i="5"/>
  <c r="D23" i="5"/>
  <c r="I22" i="5"/>
  <c r="E22" i="5"/>
  <c r="D22" i="5"/>
  <c r="I21" i="5"/>
  <c r="E21" i="5"/>
  <c r="D21" i="5"/>
  <c r="I20" i="5"/>
  <c r="I19" i="5"/>
  <c r="I18" i="5"/>
  <c r="I17" i="5"/>
  <c r="I16" i="5"/>
  <c r="I15" i="5"/>
  <c r="I14" i="5"/>
  <c r="I13" i="5"/>
  <c r="I12" i="5"/>
  <c r="I11" i="5"/>
  <c r="I10" i="5"/>
  <c r="I9" i="5"/>
  <c r="I8" i="5"/>
  <c r="I7" i="5"/>
  <c r="I6" i="5"/>
  <c r="I5" i="5"/>
  <c r="I4" i="5"/>
  <c r="I3" i="5"/>
  <c r="I2" i="5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E22" i="1"/>
  <c r="D22" i="1"/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2" i="1"/>
</calcChain>
</file>

<file path=xl/sharedStrings.xml><?xml version="1.0" encoding="utf-8"?>
<sst xmlns="http://schemas.openxmlformats.org/spreadsheetml/2006/main" count="1230" uniqueCount="198">
  <si>
    <t>Source Transaction ID</t>
  </si>
  <si>
    <t>Destination Transaction ID</t>
  </si>
  <si>
    <t>Amount</t>
  </si>
  <si>
    <t>Comma_separated</t>
  </si>
  <si>
    <t>Notes</t>
  </si>
  <si>
    <t>1734624722, 1704283890</t>
  </si>
  <si>
    <t>1734624724, 1705487944</t>
  </si>
  <si>
    <t>1734624726, 1706309646</t>
  </si>
  <si>
    <t>1734624728, 1707275479</t>
  </si>
  <si>
    <t>1734624730, 1708345659</t>
  </si>
  <si>
    <t>1734624732, 1709649663</t>
  </si>
  <si>
    <t>1734624734, 1710390417</t>
  </si>
  <si>
    <t>1734624736, 1711572938</t>
  </si>
  <si>
    <t>1734624738, 1712757849</t>
  </si>
  <si>
    <t>1734624740, 1714404903</t>
  </si>
  <si>
    <t>1734624742, 1715446330</t>
  </si>
  <si>
    <t>1734624744, 1716342294</t>
  </si>
  <si>
    <t>1734624746, 1717299757</t>
  </si>
  <si>
    <t>1734624748, 1718368862</t>
  </si>
  <si>
    <t>1734624750, 1719434897</t>
  </si>
  <si>
    <t>1734624752, 1721888997</t>
  </si>
  <si>
    <t>1734624754, 1723352921</t>
  </si>
  <si>
    <t>1734624756, 1725337484</t>
  </si>
  <si>
    <t>1734624704, 1734624632</t>
  </si>
  <si>
    <t>1734624704, 1734622500</t>
  </si>
  <si>
    <t>1734624706, 1734622507</t>
  </si>
  <si>
    <t>1734624706, 1734624636</t>
  </si>
  <si>
    <t>1734624707, 1734622511</t>
  </si>
  <si>
    <t>1734624707, 1734624639</t>
  </si>
  <si>
    <t>1734624643, 1734622499</t>
  </si>
  <si>
    <t>1734624643, 1734624709</t>
  </si>
  <si>
    <t>1734624630, 1734624710</t>
  </si>
  <si>
    <t>1734624630, 1734622538</t>
  </si>
  <si>
    <t>1734624631, 1734622550</t>
  </si>
  <si>
    <t>1734624631, 1734624714</t>
  </si>
  <si>
    <t>1734624637, 1734622555</t>
  </si>
  <si>
    <t>1734624637, 1734624717</t>
  </si>
  <si>
    <t>1734624671, 1734624713</t>
  </si>
  <si>
    <t>1734624671, 1734622505</t>
  </si>
  <si>
    <t>1734624674, 1734622517</t>
  </si>
  <si>
    <t>1734624674, 1734624715</t>
  </si>
  <si>
    <t>1734624675, 1734622521</t>
  </si>
  <si>
    <t>1734624675, 1734624718</t>
  </si>
  <si>
    <t>1704283895, 1734624723</t>
  </si>
  <si>
    <t>1705487947, 1734624725</t>
  </si>
  <si>
    <t>1706309641, 1734624727</t>
  </si>
  <si>
    <t>1707275474, 1734624729</t>
  </si>
  <si>
    <t>1708345664, 1734624731</t>
  </si>
  <si>
    <t>1709649665, 1734624733</t>
  </si>
  <si>
    <t>1710390415, 1734624735</t>
  </si>
  <si>
    <t>1711572936, 1734624737</t>
  </si>
  <si>
    <t>1712757847, 1734624739</t>
  </si>
  <si>
    <t>1714404908, 1734624741</t>
  </si>
  <si>
    <t>1715446336, 1734624743</t>
  </si>
  <si>
    <t>1716342311, 1734624745</t>
  </si>
  <si>
    <t>1717299750, 1734624747</t>
  </si>
  <si>
    <t>1718368860, 1734624749</t>
  </si>
  <si>
    <t>1719434901, 1734624751</t>
  </si>
  <si>
    <t>1721889032, 1734624753</t>
  </si>
  <si>
    <t>1723352923, 1734624755</t>
  </si>
  <si>
    <t>1725337486, 1734624757</t>
  </si>
  <si>
    <t>1734622519, 1734624709</t>
  </si>
  <si>
    <t>1734622496, 1734624632</t>
  </si>
  <si>
    <t>1734622497, 1734624636</t>
  </si>
  <si>
    <t>1734622498, 1734624639</t>
  </si>
  <si>
    <t>1734622504, 1734624710</t>
  </si>
  <si>
    <t>1734622502, 1734624713</t>
  </si>
  <si>
    <t>1734622515, 1734624714</t>
  </si>
  <si>
    <t>1734622508, 1734624715</t>
  </si>
  <si>
    <t>1734622516, 1734624717</t>
  </si>
  <si>
    <t>1734622513, 1734624718</t>
  </si>
  <si>
    <t>1709649674, 1734624678</t>
  </si>
  <si>
    <t>1721859834, 1734624681</t>
  </si>
  <si>
    <t>1725337590, 1734624672</t>
  </si>
  <si>
    <t>1725337590, 1734624657</t>
  </si>
  <si>
    <t>1725337590, 1734624670</t>
  </si>
  <si>
    <t>1725337590, 1734624654</t>
  </si>
  <si>
    <t>1725337590, 1734624677</t>
  </si>
  <si>
    <t>1725337590, 1734624663</t>
  </si>
  <si>
    <t>1725337590, 1734624660</t>
  </si>
  <si>
    <t>1725337590, 1734624667</t>
  </si>
  <si>
    <t>1725337588, 1734624672</t>
  </si>
  <si>
    <t>1725337588, 1734624657</t>
  </si>
  <si>
    <t>1725337588, 1734624670</t>
  </si>
  <si>
    <t>1725337588, 1734624654</t>
  </si>
  <si>
    <t>1725337588, 1734624677</t>
  </si>
  <si>
    <t>1725337588, 1734624663</t>
  </si>
  <si>
    <t>1725337588, 1734624660</t>
  </si>
  <si>
    <t>1725337588, 1734624667</t>
  </si>
  <si>
    <t>1725337589, 1734624680</t>
  </si>
  <si>
    <t>1725337594, 1734624682</t>
  </si>
  <si>
    <t>1725337591, 1734624685</t>
  </si>
  <si>
    <t>Account ID</t>
  </si>
  <si>
    <t>Transaction_Type</t>
  </si>
  <si>
    <t>Entry Date</t>
  </si>
  <si>
    <t>Settle Date</t>
  </si>
  <si>
    <t>Post Date</t>
  </si>
  <si>
    <t>Asset ID</t>
  </si>
  <si>
    <t>Currency</t>
  </si>
  <si>
    <t>Match</t>
  </si>
  <si>
    <t>Transaction Id</t>
  </si>
  <si>
    <t>Account ID SUSP</t>
  </si>
  <si>
    <t>PostDate</t>
  </si>
  <si>
    <t>Transaction Id SUSP</t>
  </si>
  <si>
    <t>TRN</t>
  </si>
  <si>
    <t>CCYUSD</t>
  </si>
  <si>
    <t>USD</t>
  </si>
  <si>
    <t>Y</t>
  </si>
  <si>
    <t>[Per Suspense SOP]</t>
  </si>
  <si>
    <t>1734624722, 1704283890,[Per Suspense SOP]</t>
  </si>
  <si>
    <t>1734624724, 1705487944,[Per Suspense SOP]</t>
  </si>
  <si>
    <t>1734624726, 1706309646,[Per Suspense SOP]</t>
  </si>
  <si>
    <t>1734624728, 1707275479,[Per Suspense SOP]</t>
  </si>
  <si>
    <t>1734624730, 1708345659,[Per Suspense SOP]</t>
  </si>
  <si>
    <t>1734624732, 1709649663,[Per Suspense SOP]</t>
  </si>
  <si>
    <t>1734624734, 1710390417,[Per Suspense SOP]</t>
  </si>
  <si>
    <t>1734624736, 1711572938,[Per Suspense SOP]</t>
  </si>
  <si>
    <t>1734624738, 1712757849,[Per Suspense SOP]</t>
  </si>
  <si>
    <t>1734624740, 1714404903,[Per Suspense SOP]</t>
  </si>
  <si>
    <t>1734624742, 1715446330,[Per Suspense SOP]</t>
  </si>
  <si>
    <t>1734624744, 1716342294,[Per Suspense SOP]</t>
  </si>
  <si>
    <t>1734624746, 1717299757,[Per Suspense SOP]</t>
  </si>
  <si>
    <t>1734624748, 1718368862,[Per Suspense SOP]</t>
  </si>
  <si>
    <t>1734624750, 1719434897,[Per Suspense SOP]</t>
  </si>
  <si>
    <t>1734624752, 1721888997,[Per Suspense SOP]</t>
  </si>
  <si>
    <t>1734624754, 1723352921,[Per Suspense SOP]</t>
  </si>
  <si>
    <t>1734624756, 1725337484,[Per Suspense SOP]</t>
  </si>
  <si>
    <t>1734624704, 1734624632,[Per Suspense SOP]</t>
  </si>
  <si>
    <t>1734624704, 1734622500,[Per Suspense SOP]</t>
  </si>
  <si>
    <t>1734624706, 1734622507,[Per Suspense SOP]</t>
  </si>
  <si>
    <t>1734624706, 1734624636,[Per Suspense SOP]</t>
  </si>
  <si>
    <t>1734624707, 1734622511,[Per Suspense SOP]</t>
  </si>
  <si>
    <t>1734624707, 1734624639,[Per Suspense SOP]</t>
  </si>
  <si>
    <t>1734624643, 1734622499,[Per Suspense SOP]</t>
  </si>
  <si>
    <t>1734624643, 1734624709,[Per Suspense SOP]</t>
  </si>
  <si>
    <t>1734624630, 1734624710,[Per Suspense SOP]</t>
  </si>
  <si>
    <t>1734624630, 1734622538,[Per Suspense SOP]</t>
  </si>
  <si>
    <t>1734624631, 1734622550,[Per Suspense SOP]</t>
  </si>
  <si>
    <t>1734624631, 1734624714,[Per Suspense SOP]</t>
  </si>
  <si>
    <t>1734624637, 1734622555,[Per Suspense SOP]</t>
  </si>
  <si>
    <t>1734624637, 1734624717,[Per Suspense SOP]</t>
  </si>
  <si>
    <t>1734624671, 1734624713,[Per Suspense SOP]</t>
  </si>
  <si>
    <t>1734624671, 1734622505,[Per Suspense SOP]</t>
  </si>
  <si>
    <t>1734624674, 1734622517,[Per Suspense SOP]</t>
  </si>
  <si>
    <t>1734624674, 1734624715,[Per Suspense SOP]</t>
  </si>
  <si>
    <t>1734624675, 1734622521,[Per Suspense SOP]</t>
  </si>
  <si>
    <t>1734624675, 1734624718,[Per Suspense SOP]</t>
  </si>
  <si>
    <t>1704283895, 1734624723,[Per Suspense SOP]</t>
  </si>
  <si>
    <t>1705487947, 1734624725,[Per Suspense SOP]</t>
  </si>
  <si>
    <t>1706309641, 1734624727,[Per Suspense SOP]</t>
  </si>
  <si>
    <t>1707275474, 1734624729,[Per Suspense SOP]</t>
  </si>
  <si>
    <t>1708345664, 1734624731,[Per Suspense SOP]</t>
  </si>
  <si>
    <t>1709649665, 1734624733,[Per Suspense SOP]</t>
  </si>
  <si>
    <t>1710390415, 1734624735,[Per Suspense SOP]</t>
  </si>
  <si>
    <t>1711572936, 1734624737,[Per Suspense SOP]</t>
  </si>
  <si>
    <t>1712757847, 1734624739,[Per Suspense SOP]</t>
  </si>
  <si>
    <t>1714404908, 1734624741,[Per Suspense SOP]</t>
  </si>
  <si>
    <t>1715446336, 1734624743,[Per Suspense SOP]</t>
  </si>
  <si>
    <t>1716342311, 1734624745,[Per Suspense SOP]</t>
  </si>
  <si>
    <t>1717299750, 1734624747,[Per Suspense SOP]</t>
  </si>
  <si>
    <t>1718368860, 1734624749,[Per Suspense SOP]</t>
  </si>
  <si>
    <t>1719434901, 1734624751,[Per Suspense SOP]</t>
  </si>
  <si>
    <t>1721889032, 1734624753,[Per Suspense SOP]</t>
  </si>
  <si>
    <t>1723352923, 1734624755,[Per Suspense SOP]</t>
  </si>
  <si>
    <t>1725337486, 1734624757,[Per Suspense SOP]</t>
  </si>
  <si>
    <t>1734622519, 1734624709,[Per Suspense SOP]</t>
  </si>
  <si>
    <t>1734622496, 1734624632,[Per Suspense SOP]</t>
  </si>
  <si>
    <t>1734622497, 1734624636,[Per Suspense SOP]</t>
  </si>
  <si>
    <t>1734622498, 1734624639,[Per Suspense SOP]</t>
  </si>
  <si>
    <t>1734622504, 1734624710,[Per Suspense SOP]</t>
  </si>
  <si>
    <t>1734622502, 1734624713,[Per Suspense SOP]</t>
  </si>
  <si>
    <t>1734622515, 1734624714,[Per Suspense SOP]</t>
  </si>
  <si>
    <t>1734622508, 1734624715,[Per Suspense SOP]</t>
  </si>
  <si>
    <t>1734622516, 1734624717,[Per Suspense SOP]</t>
  </si>
  <si>
    <t>1734622513, 1734624718,[Per Suspense SOP]</t>
  </si>
  <si>
    <t>1709649674, 1734624678,[Per Suspense SOP]</t>
  </si>
  <si>
    <t>1721859834, 1734624681,[Per Suspense SOP]</t>
  </si>
  <si>
    <t>1725337590, 1734624672,[Per Suspense SOP]</t>
  </si>
  <si>
    <t>1725337590, 1734624657,[Per Suspense SOP]</t>
  </si>
  <si>
    <t>1725337590, 1734624670,[Per Suspense SOP]</t>
  </si>
  <si>
    <t>1725337590, 1734624654,[Per Suspense SOP]</t>
  </si>
  <si>
    <t>1725337590, 1734624677,[Per Suspense SOP]</t>
  </si>
  <si>
    <t>1725337590, 1734624663,[Per Suspense SOP]</t>
  </si>
  <si>
    <t>1725337590, 1734624660,[Per Suspense SOP]</t>
  </si>
  <si>
    <t>1725337590, 1734624667,[Per Suspense SOP]</t>
  </si>
  <si>
    <t>1725337588, 1734624672,[Per Suspense SOP]</t>
  </si>
  <si>
    <t>1725337588, 1734624657,[Per Suspense SOP]</t>
  </si>
  <si>
    <t>1725337588, 1734624670,[Per Suspense SOP]</t>
  </si>
  <si>
    <t>1725337588, 1734624654,[Per Suspense SOP]</t>
  </si>
  <si>
    <t>1725337588, 1734624677,[Per Suspense SOP]</t>
  </si>
  <si>
    <t>1725337588, 1734624663,[Per Suspense SOP]</t>
  </si>
  <si>
    <t>1725337588, 1734624660,[Per Suspense SOP]</t>
  </si>
  <si>
    <t>1725337588, 1734624667,[Per Suspense SOP]</t>
  </si>
  <si>
    <t>1725337589, 1734624680,[Per Suspense SOP]</t>
  </si>
  <si>
    <t>1725337594, 1734624682,[Per Suspense SOP]</t>
  </si>
  <si>
    <t>1725337591, 1734624685,[Per Suspense SOP]</t>
  </si>
  <si>
    <t>Orig Transaction ID</t>
  </si>
  <si>
    <t>=(1734622507|1734624636|1734622511|1734624639|1734622499|1734624709|1734624710|1734622538|1734622550|1734624714|1734622555|1734624717|1734624713|1734622505|1734622517|1734624715|1734622521|1734624718|1734624723|1734624725|1734624727|1734624729|1734624731|1734624733|1734624735|1734624737|1734624739|1734624741|1734624743|1734624745|1734624747|1734624749|1734624751|1734624753|1734624755|1734624757|1734624709|1734624709|1734624632|1734624632|1734624636|1734624636|1734624639|1734624639|1734624710|1734624710|1734624713|1734624713|1734624714|1734624714|1734624715|1734624715|1734624717|1734624717|1734624718|1734624718|1734624678|1734624681|1734624672|1734624657|1734624670|1734624654|1734624677|1734624663|1734624660|1734624667|1734624672|1734624657|1734624670|1734624654|1734624677|1734624663|1734624660|1734624667|1734624672|1734624657|1734624670|1734624654|1734624677|1734624663|1734624660|1734624667|1734624672|1734624657|1734624670|1734624654|1734624677|1734624663|1734624660|1734624667|1734624672|1734624657|1734624670|1734624654|1734624677|1734624663|1734624660|1734624667|1734624672|1734624657|1734624670|1734624654|1734624677|1734624663|1734624660|1734624667|1734624672|1734624657|1734624670|1734624654|1734624677|1734624663|1734624660|1734624667|1734624672|1734624657|1734624670|1734624654|1734624677|1734624663|1734624660|1734624667|1734624680|1734624682|1734624685|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</si>
</sst>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yyyy\-mm\-dd"/>
    <numFmt numFmtId="166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6" fontId="0" fillId="0" borderId="0" xfId="0" applyNumberFormat="1"/>
    <xf numFmtId="0" fontId="0" fillId="2" borderId="0" xfId="0" applyFill="1"/>
    <xf numFmtId="43" fontId="1" fillId="0" borderId="1" xfId="1" applyFont="1" applyBorder="1" applyAlignment="1">
      <alignment horizontal="center" vertical="top"/>
    </xf>
    <xf numFmtId="43" fontId="0" fillId="0" borderId="0" xfId="1" applyFont="1"/>
    <xf numFmtId="0" fontId="0" fillId="3" borderId="0" xfId="0" applyFill="1"/>
    <xf numFmtId="43" fontId="0" fillId="3" borderId="0" xfId="1" applyFont="1" applyFill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6"/>
  <sheetViews>
    <sheetView topLeftCell="A6" workbookViewId="0">
      <selection activeCell="E61" sqref="E61:E146"/>
    </sheetView>
  </sheetViews>
  <sheetFormatPr defaultRowHeight="15" x14ac:dyDescent="0.25"/>
  <cols>
    <col min="1" max="1" width="27" customWidth="1"/>
    <col min="2" max="2" width="32" customWidth="1"/>
    <col min="3" max="3" width="23" style="6" customWidth="1"/>
    <col min="4" max="4" width="15" customWidth="1"/>
    <col min="5" max="5" width="20.140625" customWidth="1"/>
    <col min="6" max="6" width="28" customWidth="1"/>
    <col min="7" max="7" width="22" customWidth="1"/>
    <col min="16" max="16" width="40" customWidth="1"/>
  </cols>
  <sheetData>
    <row r="1" spans="1:16" x14ac:dyDescent="0.25">
      <c r="A1" s="1" t="s">
        <v>0</v>
      </c>
      <c r="B1" s="1" t="s">
        <v>1</v>
      </c>
      <c r="C1" s="5" t="s">
        <v>2</v>
      </c>
      <c r="D1" s="1"/>
      <c r="E1" s="1"/>
      <c r="F1" s="1" t="s">
        <v>3</v>
      </c>
      <c r="G1" s="1" t="s">
        <v>4</v>
      </c>
    </row>
    <row r="2" spans="1:16" x14ac:dyDescent="0.25">
      <c r="A2">
        <v>1734624722</v>
      </c>
      <c r="B2">
        <v>1704283890</v>
      </c>
      <c r="C2" s="6">
        <v>-3102567.09</v>
      </c>
      <c r="F2" t="s">
        <v>5</v>
      </c>
      <c r="G2" t="s">
        <v>108</v>
      </c>
      <c r="I2" t="str">
        <f>F2&amp;","&amp;G2</f>
        <v>1734624722, 1704283890,[Per Suspense SOP]</v>
      </c>
      <c r="P2" s="4" t="s">
        <v>109</v>
      </c>
    </row>
    <row r="3" spans="1:16" x14ac:dyDescent="0.25">
      <c r="A3">
        <v>1734624724</v>
      </c>
      <c r="B3">
        <v>1705487944</v>
      </c>
      <c r="C3" s="6">
        <v>-2452621.69</v>
      </c>
      <c r="F3" t="s">
        <v>6</v>
      </c>
      <c r="G3" t="s">
        <v>108</v>
      </c>
      <c r="I3" t="str">
        <f t="shared" ref="I3:I66" si="0">F3&amp;","&amp;G3</f>
        <v>1734624724, 1705487944,[Per Suspense SOP]</v>
      </c>
      <c r="P3" s="4" t="s">
        <v>110</v>
      </c>
    </row>
    <row r="4" spans="1:16" x14ac:dyDescent="0.25">
      <c r="A4">
        <v>1734624726</v>
      </c>
      <c r="B4">
        <v>1706309646</v>
      </c>
      <c r="C4" s="6">
        <v>-5072833.3499999996</v>
      </c>
      <c r="F4" t="s">
        <v>7</v>
      </c>
      <c r="G4" t="s">
        <v>108</v>
      </c>
      <c r="I4" t="str">
        <f t="shared" si="0"/>
        <v>1734624726, 1706309646,[Per Suspense SOP]</v>
      </c>
      <c r="P4" s="4" t="s">
        <v>111</v>
      </c>
    </row>
    <row r="5" spans="1:16" x14ac:dyDescent="0.25">
      <c r="A5">
        <v>1734624728</v>
      </c>
      <c r="B5">
        <v>1707275479</v>
      </c>
      <c r="C5" s="6">
        <v>-50350316.75</v>
      </c>
      <c r="F5" t="s">
        <v>8</v>
      </c>
      <c r="G5" t="s">
        <v>108</v>
      </c>
      <c r="I5" t="str">
        <f t="shared" si="0"/>
        <v>1734624728, 1707275479,[Per Suspense SOP]</v>
      </c>
      <c r="P5" s="4" t="s">
        <v>112</v>
      </c>
    </row>
    <row r="6" spans="1:16" x14ac:dyDescent="0.25">
      <c r="A6">
        <v>1734624730</v>
      </c>
      <c r="B6">
        <v>1708345659</v>
      </c>
      <c r="C6" s="6">
        <v>-4694670.12</v>
      </c>
      <c r="F6" t="s">
        <v>9</v>
      </c>
      <c r="G6" t="s">
        <v>108</v>
      </c>
      <c r="I6" t="str">
        <f t="shared" si="0"/>
        <v>1734624730, 1708345659,[Per Suspense SOP]</v>
      </c>
      <c r="P6" s="4" t="s">
        <v>113</v>
      </c>
    </row>
    <row r="7" spans="1:16" x14ac:dyDescent="0.25">
      <c r="A7">
        <v>1734624732</v>
      </c>
      <c r="B7">
        <v>1709649663</v>
      </c>
      <c r="C7" s="6">
        <v>-4590075.28</v>
      </c>
      <c r="F7" t="s">
        <v>10</v>
      </c>
      <c r="G7" t="s">
        <v>108</v>
      </c>
      <c r="I7" t="str">
        <f t="shared" si="0"/>
        <v>1734624732, 1709649663,[Per Suspense SOP]</v>
      </c>
      <c r="P7" s="4" t="s">
        <v>114</v>
      </c>
    </row>
    <row r="8" spans="1:16" x14ac:dyDescent="0.25">
      <c r="A8">
        <v>1734624734</v>
      </c>
      <c r="B8">
        <v>1710390417</v>
      </c>
      <c r="C8" s="6">
        <v>-14078263.67</v>
      </c>
      <c r="F8" t="s">
        <v>11</v>
      </c>
      <c r="G8" t="s">
        <v>108</v>
      </c>
      <c r="I8" t="str">
        <f t="shared" si="0"/>
        <v>1734624734, 1710390417,[Per Suspense SOP]</v>
      </c>
      <c r="P8" s="4" t="s">
        <v>115</v>
      </c>
    </row>
    <row r="9" spans="1:16" x14ac:dyDescent="0.25">
      <c r="A9">
        <v>1734624736</v>
      </c>
      <c r="B9">
        <v>1711572938</v>
      </c>
      <c r="C9" s="6">
        <v>-14480161.800000001</v>
      </c>
      <c r="F9" t="s">
        <v>12</v>
      </c>
      <c r="G9" t="s">
        <v>108</v>
      </c>
      <c r="I9" t="str">
        <f t="shared" si="0"/>
        <v>1734624736, 1711572938,[Per Suspense SOP]</v>
      </c>
      <c r="P9" s="4" t="s">
        <v>116</v>
      </c>
    </row>
    <row r="10" spans="1:16" x14ac:dyDescent="0.25">
      <c r="A10">
        <v>1734624738</v>
      </c>
      <c r="B10">
        <v>1712757849</v>
      </c>
      <c r="C10" s="6">
        <v>-4169411.46</v>
      </c>
      <c r="F10" t="s">
        <v>13</v>
      </c>
      <c r="G10" t="s">
        <v>108</v>
      </c>
      <c r="I10" t="str">
        <f t="shared" si="0"/>
        <v>1734624738, 1712757849,[Per Suspense SOP]</v>
      </c>
      <c r="P10" s="4" t="s">
        <v>117</v>
      </c>
    </row>
    <row r="11" spans="1:16" x14ac:dyDescent="0.25">
      <c r="A11">
        <v>1734624740</v>
      </c>
      <c r="B11">
        <v>1714404903</v>
      </c>
      <c r="C11" s="6">
        <v>-4169771.29</v>
      </c>
      <c r="F11" t="s">
        <v>14</v>
      </c>
      <c r="G11" t="s">
        <v>108</v>
      </c>
      <c r="I11" t="str">
        <f t="shared" si="0"/>
        <v>1734624740, 1714404903,[Per Suspense SOP]</v>
      </c>
      <c r="P11" s="4" t="s">
        <v>118</v>
      </c>
    </row>
    <row r="12" spans="1:16" x14ac:dyDescent="0.25">
      <c r="A12">
        <v>1734624742</v>
      </c>
      <c r="B12">
        <v>1715446330</v>
      </c>
      <c r="C12" s="6">
        <v>-20070850.859999999</v>
      </c>
      <c r="F12" t="s">
        <v>15</v>
      </c>
      <c r="G12" t="s">
        <v>108</v>
      </c>
      <c r="I12" t="str">
        <f t="shared" si="0"/>
        <v>1734624742, 1715446330,[Per Suspense SOP]</v>
      </c>
      <c r="P12" s="4" t="s">
        <v>119</v>
      </c>
    </row>
    <row r="13" spans="1:16" x14ac:dyDescent="0.25">
      <c r="A13">
        <v>1734624744</v>
      </c>
      <c r="B13">
        <v>1716342294</v>
      </c>
      <c r="C13" s="6">
        <v>-57592583</v>
      </c>
      <c r="F13" t="s">
        <v>16</v>
      </c>
      <c r="G13" t="s">
        <v>108</v>
      </c>
      <c r="I13" t="str">
        <f t="shared" si="0"/>
        <v>1734624744, 1716342294,[Per Suspense SOP]</v>
      </c>
      <c r="P13" s="4" t="s">
        <v>120</v>
      </c>
    </row>
    <row r="14" spans="1:16" x14ac:dyDescent="0.25">
      <c r="A14">
        <v>1734624746</v>
      </c>
      <c r="B14">
        <v>1717299757</v>
      </c>
      <c r="C14" s="6">
        <v>-6257441.9500000002</v>
      </c>
      <c r="F14" t="s">
        <v>17</v>
      </c>
      <c r="G14" t="s">
        <v>108</v>
      </c>
      <c r="I14" t="str">
        <f t="shared" si="0"/>
        <v>1734624746, 1717299757,[Per Suspense SOP]</v>
      </c>
      <c r="P14" s="4" t="s">
        <v>121</v>
      </c>
    </row>
    <row r="15" spans="1:16" x14ac:dyDescent="0.25">
      <c r="A15">
        <v>1734624748</v>
      </c>
      <c r="B15">
        <v>1718368862</v>
      </c>
      <c r="C15" s="6">
        <v>-15512681.98</v>
      </c>
      <c r="F15" t="s">
        <v>18</v>
      </c>
      <c r="G15" t="s">
        <v>108</v>
      </c>
      <c r="I15" t="str">
        <f t="shared" si="0"/>
        <v>1734624748, 1718368862,[Per Suspense SOP]</v>
      </c>
      <c r="P15" s="4" t="s">
        <v>122</v>
      </c>
    </row>
    <row r="16" spans="1:16" x14ac:dyDescent="0.25">
      <c r="A16">
        <v>1734624750</v>
      </c>
      <c r="B16">
        <v>1719434897</v>
      </c>
      <c r="C16" s="6">
        <v>-4131731.86</v>
      </c>
      <c r="F16" t="s">
        <v>19</v>
      </c>
      <c r="G16" t="s">
        <v>108</v>
      </c>
      <c r="I16" t="str">
        <f t="shared" si="0"/>
        <v>1734624750, 1719434897,[Per Suspense SOP]</v>
      </c>
      <c r="P16" s="4" t="s">
        <v>123</v>
      </c>
    </row>
    <row r="17" spans="1:16" x14ac:dyDescent="0.25">
      <c r="A17">
        <v>1734624752</v>
      </c>
      <c r="B17">
        <v>1721888997</v>
      </c>
      <c r="C17" s="6">
        <v>-13833801.58</v>
      </c>
      <c r="F17" t="s">
        <v>20</v>
      </c>
      <c r="G17" t="s">
        <v>108</v>
      </c>
      <c r="I17" t="str">
        <f t="shared" si="0"/>
        <v>1734624752, 1721888997,[Per Suspense SOP]</v>
      </c>
      <c r="P17" s="4" t="s">
        <v>124</v>
      </c>
    </row>
    <row r="18" spans="1:16" x14ac:dyDescent="0.25">
      <c r="A18">
        <v>1734624754</v>
      </c>
      <c r="B18">
        <v>1723352921</v>
      </c>
      <c r="C18" s="6">
        <v>-9450995.4600000009</v>
      </c>
      <c r="F18" t="s">
        <v>21</v>
      </c>
      <c r="G18" t="s">
        <v>108</v>
      </c>
      <c r="I18" t="str">
        <f t="shared" si="0"/>
        <v>1734624754, 1723352921,[Per Suspense SOP]</v>
      </c>
      <c r="P18" s="4" t="s">
        <v>125</v>
      </c>
    </row>
    <row r="19" spans="1:16" x14ac:dyDescent="0.25">
      <c r="A19">
        <v>1734624756</v>
      </c>
      <c r="B19">
        <v>1725337484</v>
      </c>
      <c r="C19" s="6">
        <v>-9451811.0899999999</v>
      </c>
      <c r="F19" t="s">
        <v>22</v>
      </c>
      <c r="G19" t="s">
        <v>108</v>
      </c>
      <c r="I19" t="str">
        <f t="shared" si="0"/>
        <v>1734624756, 1725337484,[Per Suspense SOP]</v>
      </c>
      <c r="P19" s="4" t="s">
        <v>126</v>
      </c>
    </row>
    <row r="20" spans="1:16" x14ac:dyDescent="0.25">
      <c r="A20" s="7">
        <v>1734624704</v>
      </c>
      <c r="B20" s="7">
        <v>1734624632</v>
      </c>
      <c r="C20" s="8">
        <v>-44500000</v>
      </c>
      <c r="D20" s="7"/>
      <c r="E20" s="7"/>
      <c r="F20" s="7" t="s">
        <v>23</v>
      </c>
      <c r="G20" s="7" t="s">
        <v>108</v>
      </c>
      <c r="H20" s="7"/>
      <c r="I20" s="7" t="str">
        <f t="shared" si="0"/>
        <v>1734624704, 1734624632,[Per Suspense SOP]</v>
      </c>
      <c r="J20" s="7"/>
      <c r="K20" s="7"/>
      <c r="L20" s="7"/>
      <c r="M20" s="7"/>
      <c r="N20" s="7"/>
      <c r="O20" s="7"/>
      <c r="P20" s="7" t="s">
        <v>127</v>
      </c>
    </row>
    <row r="21" spans="1:16" x14ac:dyDescent="0.25">
      <c r="A21" s="7">
        <v>1734624704</v>
      </c>
      <c r="B21" s="7">
        <v>1734622500</v>
      </c>
      <c r="C21" s="8">
        <v>-44500000</v>
      </c>
      <c r="D21" s="7"/>
      <c r="E21" s="7"/>
      <c r="F21" s="7" t="s">
        <v>24</v>
      </c>
      <c r="G21" s="7" t="s">
        <v>108</v>
      </c>
      <c r="H21" s="7"/>
      <c r="I21" s="7" t="str">
        <f t="shared" si="0"/>
        <v>1734624704, 1734622500,[Per Suspense SOP]</v>
      </c>
      <c r="J21" s="7"/>
      <c r="K21" s="7"/>
      <c r="L21" s="7"/>
      <c r="M21" s="7"/>
      <c r="N21" s="7"/>
      <c r="O21" s="7"/>
      <c r="P21" s="7" t="s">
        <v>128</v>
      </c>
    </row>
    <row r="22" spans="1:16" x14ac:dyDescent="0.25">
      <c r="A22">
        <v>1734624706</v>
      </c>
      <c r="B22">
        <v>1734622507</v>
      </c>
      <c r="C22" s="6">
        <v>-2000000</v>
      </c>
      <c r="D22">
        <f>VLOOKUP(A22,Sheet1!$N$4:$O$136,2,FALSE)</f>
        <v>551400</v>
      </c>
      <c r="E22">
        <f>VLOOKUP(B22,Sheet1!$N$4:$O$136,2,FALSE)</f>
        <v>369050</v>
      </c>
      <c r="F22" t="s">
        <v>25</v>
      </c>
      <c r="G22" t="s">
        <v>108</v>
      </c>
      <c r="I22" t="str">
        <f t="shared" si="0"/>
        <v>1734624706, 1734622507,[Per Suspense SOP]</v>
      </c>
      <c r="P22" t="s">
        <v>129</v>
      </c>
    </row>
    <row r="23" spans="1:16" x14ac:dyDescent="0.25">
      <c r="A23">
        <v>1734624706</v>
      </c>
      <c r="B23">
        <v>1734624636</v>
      </c>
      <c r="C23" s="6">
        <v>-2000000</v>
      </c>
      <c r="D23">
        <f>VLOOKUP(A23,Sheet1!$N$4:$O$136,2,FALSE)</f>
        <v>551400</v>
      </c>
      <c r="E23">
        <f>VLOOKUP(B23,Sheet1!$N$4:$O$136,2,FALSE)</f>
        <v>551375</v>
      </c>
      <c r="F23" t="s">
        <v>26</v>
      </c>
      <c r="G23" t="s">
        <v>108</v>
      </c>
      <c r="I23" t="str">
        <f t="shared" si="0"/>
        <v>1734624706, 1734624636,[Per Suspense SOP]</v>
      </c>
      <c r="P23" t="s">
        <v>130</v>
      </c>
    </row>
    <row r="24" spans="1:16" x14ac:dyDescent="0.25">
      <c r="A24">
        <v>1734624707</v>
      </c>
      <c r="B24">
        <v>1734622511</v>
      </c>
      <c r="C24" s="6">
        <v>-3700000</v>
      </c>
      <c r="D24">
        <f>VLOOKUP(A24,Sheet1!$N$4:$O$136,2,FALSE)</f>
        <v>551400</v>
      </c>
      <c r="E24">
        <f>VLOOKUP(B24,Sheet1!$N$4:$O$136,2,FALSE)</f>
        <v>369050</v>
      </c>
      <c r="F24" t="s">
        <v>27</v>
      </c>
      <c r="G24" t="s">
        <v>108</v>
      </c>
      <c r="I24" t="str">
        <f t="shared" si="0"/>
        <v>1734624707, 1734622511,[Per Suspense SOP]</v>
      </c>
      <c r="P24" t="s">
        <v>131</v>
      </c>
    </row>
    <row r="25" spans="1:16" x14ac:dyDescent="0.25">
      <c r="A25">
        <v>1734624707</v>
      </c>
      <c r="B25">
        <v>1734624639</v>
      </c>
      <c r="C25" s="6">
        <v>-3700000</v>
      </c>
      <c r="D25">
        <f>VLOOKUP(A25,Sheet1!$N$4:$O$136,2,FALSE)</f>
        <v>551400</v>
      </c>
      <c r="E25">
        <f>VLOOKUP(B25,Sheet1!$N$4:$O$136,2,FALSE)</f>
        <v>551375</v>
      </c>
      <c r="F25" t="s">
        <v>28</v>
      </c>
      <c r="G25" t="s">
        <v>108</v>
      </c>
      <c r="I25" t="str">
        <f t="shared" si="0"/>
        <v>1734624707, 1734624639,[Per Suspense SOP]</v>
      </c>
      <c r="P25" t="s">
        <v>132</v>
      </c>
    </row>
    <row r="26" spans="1:16" x14ac:dyDescent="0.25">
      <c r="A26">
        <v>1734624643</v>
      </c>
      <c r="B26">
        <v>1734622499</v>
      </c>
      <c r="C26" s="6">
        <v>-440000</v>
      </c>
      <c r="D26">
        <f>VLOOKUP(A26,Sheet1!$N$4:$O$136,2,FALSE)</f>
        <v>551375</v>
      </c>
      <c r="E26">
        <f>VLOOKUP(B26,Sheet1!$N$4:$O$136,2,FALSE)</f>
        <v>369053</v>
      </c>
      <c r="F26" t="s">
        <v>29</v>
      </c>
      <c r="G26" t="s">
        <v>108</v>
      </c>
      <c r="I26" t="str">
        <f t="shared" si="0"/>
        <v>1734624643, 1734622499,[Per Suspense SOP]</v>
      </c>
      <c r="P26" t="s">
        <v>133</v>
      </c>
    </row>
    <row r="27" spans="1:16" x14ac:dyDescent="0.25">
      <c r="A27">
        <v>1734624643</v>
      </c>
      <c r="B27">
        <v>1734624709</v>
      </c>
      <c r="C27" s="6">
        <v>-440000</v>
      </c>
      <c r="D27">
        <f>VLOOKUP(A27,Sheet1!$N$4:$O$136,2,FALSE)</f>
        <v>551375</v>
      </c>
      <c r="E27">
        <f>VLOOKUP(B27,Sheet1!$N$4:$O$136,2,FALSE)</f>
        <v>551400</v>
      </c>
      <c r="F27" t="s">
        <v>30</v>
      </c>
      <c r="G27" t="s">
        <v>108</v>
      </c>
      <c r="I27" t="str">
        <f t="shared" si="0"/>
        <v>1734624643, 1734624709,[Per Suspense SOP]</v>
      </c>
      <c r="P27" t="s">
        <v>134</v>
      </c>
    </row>
    <row r="28" spans="1:16" x14ac:dyDescent="0.25">
      <c r="A28">
        <v>1734624630</v>
      </c>
      <c r="B28">
        <v>1734624710</v>
      </c>
      <c r="C28" s="6">
        <v>-44055000</v>
      </c>
      <c r="D28">
        <f>VLOOKUP(A28,Sheet1!$N$4:$O$136,2,FALSE)</f>
        <v>551404</v>
      </c>
      <c r="E28">
        <f>VLOOKUP(B28,Sheet1!$N$4:$O$136,2,FALSE)</f>
        <v>551400</v>
      </c>
      <c r="F28" t="s">
        <v>31</v>
      </c>
      <c r="G28" t="s">
        <v>108</v>
      </c>
      <c r="I28" t="str">
        <f t="shared" si="0"/>
        <v>1734624630, 1734624710,[Per Suspense SOP]</v>
      </c>
      <c r="P28" t="s">
        <v>135</v>
      </c>
    </row>
    <row r="29" spans="1:16" x14ac:dyDescent="0.25">
      <c r="A29">
        <v>1734624630</v>
      </c>
      <c r="B29">
        <v>1734622538</v>
      </c>
      <c r="C29" s="6">
        <v>-44055000</v>
      </c>
      <c r="D29">
        <f>VLOOKUP(A29,Sheet1!$N$4:$O$136,2,FALSE)</f>
        <v>551404</v>
      </c>
      <c r="E29">
        <f>VLOOKUP(B29,Sheet1!$N$4:$O$136,2,FALSE)</f>
        <v>369038</v>
      </c>
      <c r="F29" t="s">
        <v>32</v>
      </c>
      <c r="G29" t="s">
        <v>108</v>
      </c>
      <c r="I29" t="str">
        <f t="shared" si="0"/>
        <v>1734624630, 1734622538,[Per Suspense SOP]</v>
      </c>
      <c r="P29" t="s">
        <v>136</v>
      </c>
    </row>
    <row r="30" spans="1:16" x14ac:dyDescent="0.25">
      <c r="A30">
        <v>1734624631</v>
      </c>
      <c r="B30">
        <v>1734622550</v>
      </c>
      <c r="C30" s="6">
        <v>-1980000</v>
      </c>
      <c r="D30">
        <f>VLOOKUP(A30,Sheet1!$N$4:$O$136,2,FALSE)</f>
        <v>551404</v>
      </c>
      <c r="E30">
        <f>VLOOKUP(B30,Sheet1!$N$4:$O$136,2,FALSE)</f>
        <v>369038</v>
      </c>
      <c r="F30" t="s">
        <v>33</v>
      </c>
      <c r="G30" t="s">
        <v>108</v>
      </c>
      <c r="I30" t="str">
        <f t="shared" si="0"/>
        <v>1734624631, 1734622550,[Per Suspense SOP]</v>
      </c>
      <c r="P30" t="s">
        <v>137</v>
      </c>
    </row>
    <row r="31" spans="1:16" x14ac:dyDescent="0.25">
      <c r="A31">
        <v>1734624631</v>
      </c>
      <c r="B31">
        <v>1734624714</v>
      </c>
      <c r="C31" s="6">
        <v>-1980000</v>
      </c>
      <c r="D31">
        <f>VLOOKUP(A31,Sheet1!$N$4:$O$136,2,FALSE)</f>
        <v>551404</v>
      </c>
      <c r="E31">
        <f>VLOOKUP(B31,Sheet1!$N$4:$O$136,2,FALSE)</f>
        <v>551400</v>
      </c>
      <c r="F31" t="s">
        <v>34</v>
      </c>
      <c r="G31" t="s">
        <v>108</v>
      </c>
      <c r="I31" t="str">
        <f t="shared" si="0"/>
        <v>1734624631, 1734624714,[Per Suspense SOP]</v>
      </c>
      <c r="P31" t="s">
        <v>138</v>
      </c>
    </row>
    <row r="32" spans="1:16" x14ac:dyDescent="0.25">
      <c r="A32">
        <v>1734624637</v>
      </c>
      <c r="B32">
        <v>1734622555</v>
      </c>
      <c r="C32" s="6">
        <v>-3663000</v>
      </c>
      <c r="D32">
        <f>VLOOKUP(A32,Sheet1!$N$4:$O$136,2,FALSE)</f>
        <v>551404</v>
      </c>
      <c r="E32">
        <f>VLOOKUP(B32,Sheet1!$N$4:$O$136,2,FALSE)</f>
        <v>369038</v>
      </c>
      <c r="F32" t="s">
        <v>35</v>
      </c>
      <c r="G32" t="s">
        <v>108</v>
      </c>
      <c r="I32" t="str">
        <f t="shared" si="0"/>
        <v>1734624637, 1734622555,[Per Suspense SOP]</v>
      </c>
      <c r="P32" t="s">
        <v>139</v>
      </c>
    </row>
    <row r="33" spans="1:16" x14ac:dyDescent="0.25">
      <c r="A33">
        <v>1734624637</v>
      </c>
      <c r="B33">
        <v>1734624717</v>
      </c>
      <c r="C33" s="6">
        <v>-3663000</v>
      </c>
      <c r="D33">
        <f>VLOOKUP(A33,Sheet1!$N$4:$O$136,2,FALSE)</f>
        <v>551404</v>
      </c>
      <c r="E33">
        <f>VLOOKUP(B33,Sheet1!$N$4:$O$136,2,FALSE)</f>
        <v>551400</v>
      </c>
      <c r="F33" t="s">
        <v>36</v>
      </c>
      <c r="G33" t="s">
        <v>108</v>
      </c>
      <c r="I33" t="str">
        <f t="shared" si="0"/>
        <v>1734624637, 1734624717,[Per Suspense SOP]</v>
      </c>
      <c r="P33" t="s">
        <v>140</v>
      </c>
    </row>
    <row r="34" spans="1:16" x14ac:dyDescent="0.25">
      <c r="A34">
        <v>1734624671</v>
      </c>
      <c r="B34">
        <v>1734624713</v>
      </c>
      <c r="C34" s="6">
        <v>-445000</v>
      </c>
      <c r="D34">
        <f>VLOOKUP(A34,Sheet1!$N$4:$O$136,2,FALSE)</f>
        <v>551374</v>
      </c>
      <c r="E34">
        <f>VLOOKUP(B34,Sheet1!$N$4:$O$136,2,FALSE)</f>
        <v>551400</v>
      </c>
      <c r="F34" t="s">
        <v>37</v>
      </c>
      <c r="G34" t="s">
        <v>108</v>
      </c>
      <c r="I34" t="str">
        <f t="shared" si="0"/>
        <v>1734624671, 1734624713,[Per Suspense SOP]</v>
      </c>
      <c r="P34" t="s">
        <v>141</v>
      </c>
    </row>
    <row r="35" spans="1:16" x14ac:dyDescent="0.25">
      <c r="A35">
        <v>1734624671</v>
      </c>
      <c r="B35">
        <v>1734622505</v>
      </c>
      <c r="C35" s="6">
        <v>-445000</v>
      </c>
      <c r="D35">
        <f>VLOOKUP(A35,Sheet1!$N$4:$O$136,2,FALSE)</f>
        <v>551374</v>
      </c>
      <c r="E35">
        <f>VLOOKUP(B35,Sheet1!$N$4:$O$136,2,FALSE)</f>
        <v>369041</v>
      </c>
      <c r="F35" t="s">
        <v>38</v>
      </c>
      <c r="G35" t="s">
        <v>108</v>
      </c>
      <c r="I35" t="str">
        <f t="shared" si="0"/>
        <v>1734624671, 1734622505,[Per Suspense SOP]</v>
      </c>
      <c r="P35" t="s">
        <v>142</v>
      </c>
    </row>
    <row r="36" spans="1:16" x14ac:dyDescent="0.25">
      <c r="A36">
        <v>1734624674</v>
      </c>
      <c r="B36">
        <v>1734622517</v>
      </c>
      <c r="C36" s="6">
        <v>-20000</v>
      </c>
      <c r="D36">
        <f>VLOOKUP(A36,Sheet1!$N$4:$O$136,2,FALSE)</f>
        <v>551374</v>
      </c>
      <c r="E36">
        <f>VLOOKUP(B36,Sheet1!$N$4:$O$136,2,FALSE)</f>
        <v>369041</v>
      </c>
      <c r="F36" t="s">
        <v>39</v>
      </c>
      <c r="G36" t="s">
        <v>108</v>
      </c>
      <c r="I36" t="str">
        <f t="shared" si="0"/>
        <v>1734624674, 1734622517,[Per Suspense SOP]</v>
      </c>
      <c r="P36" t="s">
        <v>143</v>
      </c>
    </row>
    <row r="37" spans="1:16" x14ac:dyDescent="0.25">
      <c r="A37">
        <v>1734624674</v>
      </c>
      <c r="B37">
        <v>1734624715</v>
      </c>
      <c r="C37" s="6">
        <v>-20000</v>
      </c>
      <c r="D37">
        <f>VLOOKUP(A37,Sheet1!$N$4:$O$136,2,FALSE)</f>
        <v>551374</v>
      </c>
      <c r="E37">
        <f>VLOOKUP(B37,Sheet1!$N$4:$O$136,2,FALSE)</f>
        <v>551400</v>
      </c>
      <c r="F37" t="s">
        <v>40</v>
      </c>
      <c r="G37" t="s">
        <v>108</v>
      </c>
      <c r="I37" t="str">
        <f t="shared" si="0"/>
        <v>1734624674, 1734624715,[Per Suspense SOP]</v>
      </c>
      <c r="P37" t="s">
        <v>144</v>
      </c>
    </row>
    <row r="38" spans="1:16" x14ac:dyDescent="0.25">
      <c r="A38">
        <v>1734624675</v>
      </c>
      <c r="B38">
        <v>1734622521</v>
      </c>
      <c r="C38" s="6">
        <v>-37000</v>
      </c>
      <c r="D38">
        <f>VLOOKUP(A38,Sheet1!$N$4:$O$136,2,FALSE)</f>
        <v>551374</v>
      </c>
      <c r="E38">
        <f>VLOOKUP(B38,Sheet1!$N$4:$O$136,2,FALSE)</f>
        <v>369041</v>
      </c>
      <c r="F38" t="s">
        <v>41</v>
      </c>
      <c r="G38" t="s">
        <v>108</v>
      </c>
      <c r="I38" t="str">
        <f t="shared" si="0"/>
        <v>1734624675, 1734622521,[Per Suspense SOP]</v>
      </c>
      <c r="P38" t="s">
        <v>145</v>
      </c>
    </row>
    <row r="39" spans="1:16" x14ac:dyDescent="0.25">
      <c r="A39">
        <v>1734624675</v>
      </c>
      <c r="B39">
        <v>1734624718</v>
      </c>
      <c r="C39" s="6">
        <v>-37000</v>
      </c>
      <c r="D39">
        <f>VLOOKUP(A39,Sheet1!$N$4:$O$136,2,FALSE)</f>
        <v>551374</v>
      </c>
      <c r="E39">
        <f>VLOOKUP(B39,Sheet1!$N$4:$O$136,2,FALSE)</f>
        <v>551400</v>
      </c>
      <c r="F39" t="s">
        <v>42</v>
      </c>
      <c r="G39" t="s">
        <v>108</v>
      </c>
      <c r="I39" t="str">
        <f t="shared" si="0"/>
        <v>1734624675, 1734624718,[Per Suspense SOP]</v>
      </c>
      <c r="P39" t="s">
        <v>146</v>
      </c>
    </row>
    <row r="40" spans="1:16" x14ac:dyDescent="0.25">
      <c r="A40">
        <v>1704283895</v>
      </c>
      <c r="B40">
        <v>1734624723</v>
      </c>
      <c r="C40" s="6">
        <v>2452621.69</v>
      </c>
      <c r="D40">
        <f>VLOOKUP(A40,Sheet1!$N$4:$O$136,2,FALSE)</f>
        <v>369038</v>
      </c>
      <c r="E40">
        <f>VLOOKUP(B40,Sheet1!$N$4:$O$136,2,FALSE)</f>
        <v>551389</v>
      </c>
      <c r="F40" t="s">
        <v>43</v>
      </c>
      <c r="G40" t="s">
        <v>108</v>
      </c>
      <c r="I40" t="str">
        <f t="shared" si="0"/>
        <v>1704283895, 1734624723,[Per Suspense SOP]</v>
      </c>
      <c r="P40" t="s">
        <v>147</v>
      </c>
    </row>
    <row r="41" spans="1:16" x14ac:dyDescent="0.25">
      <c r="A41">
        <v>1705487947</v>
      </c>
      <c r="B41">
        <v>1734624725</v>
      </c>
      <c r="C41" s="6">
        <v>5072833.3499999996</v>
      </c>
      <c r="D41">
        <f>VLOOKUP(A41,Sheet1!$N$4:$O$136,2,FALSE)</f>
        <v>369038</v>
      </c>
      <c r="E41">
        <f>VLOOKUP(B41,Sheet1!$N$4:$O$136,2,FALSE)</f>
        <v>551389</v>
      </c>
      <c r="F41" t="s">
        <v>44</v>
      </c>
      <c r="G41" t="s">
        <v>108</v>
      </c>
      <c r="I41" t="str">
        <f t="shared" si="0"/>
        <v>1705487947, 1734624725,[Per Suspense SOP]</v>
      </c>
      <c r="P41" t="s">
        <v>148</v>
      </c>
    </row>
    <row r="42" spans="1:16" x14ac:dyDescent="0.25">
      <c r="A42">
        <v>1706309641</v>
      </c>
      <c r="B42">
        <v>1734624727</v>
      </c>
      <c r="C42" s="6">
        <v>50350316.75</v>
      </c>
      <c r="D42">
        <f>VLOOKUP(A42,Sheet1!$N$4:$O$136,2,FALSE)</f>
        <v>369038</v>
      </c>
      <c r="E42">
        <f>VLOOKUP(B42,Sheet1!$N$4:$O$136,2,FALSE)</f>
        <v>551389</v>
      </c>
      <c r="F42" t="s">
        <v>45</v>
      </c>
      <c r="G42" t="s">
        <v>108</v>
      </c>
      <c r="I42" t="str">
        <f t="shared" si="0"/>
        <v>1706309641, 1734624727,[Per Suspense SOP]</v>
      </c>
      <c r="P42" t="s">
        <v>149</v>
      </c>
    </row>
    <row r="43" spans="1:16" x14ac:dyDescent="0.25">
      <c r="A43">
        <v>1707275474</v>
      </c>
      <c r="B43">
        <v>1734624729</v>
      </c>
      <c r="C43" s="6">
        <v>4694670.12</v>
      </c>
      <c r="D43">
        <f>VLOOKUP(A43,Sheet1!$N$4:$O$136,2,FALSE)</f>
        <v>369038</v>
      </c>
      <c r="E43">
        <f>VLOOKUP(B43,Sheet1!$N$4:$O$136,2,FALSE)</f>
        <v>551389</v>
      </c>
      <c r="F43" t="s">
        <v>46</v>
      </c>
      <c r="G43" t="s">
        <v>108</v>
      </c>
      <c r="I43" t="str">
        <f t="shared" si="0"/>
        <v>1707275474, 1734624729,[Per Suspense SOP]</v>
      </c>
      <c r="P43" t="s">
        <v>150</v>
      </c>
    </row>
    <row r="44" spans="1:16" x14ac:dyDescent="0.25">
      <c r="A44">
        <v>1708345664</v>
      </c>
      <c r="B44">
        <v>1734624731</v>
      </c>
      <c r="C44" s="6">
        <v>4590075.28</v>
      </c>
      <c r="D44">
        <f>VLOOKUP(A44,Sheet1!$N$4:$O$136,2,FALSE)</f>
        <v>369038</v>
      </c>
      <c r="E44">
        <f>VLOOKUP(B44,Sheet1!$N$4:$O$136,2,FALSE)</f>
        <v>551389</v>
      </c>
      <c r="F44" t="s">
        <v>47</v>
      </c>
      <c r="G44" t="s">
        <v>108</v>
      </c>
      <c r="I44" t="str">
        <f t="shared" si="0"/>
        <v>1708345664, 1734624731,[Per Suspense SOP]</v>
      </c>
      <c r="P44" t="s">
        <v>151</v>
      </c>
    </row>
    <row r="45" spans="1:16" x14ac:dyDescent="0.25">
      <c r="A45">
        <v>1709649665</v>
      </c>
      <c r="B45">
        <v>1734624733</v>
      </c>
      <c r="C45" s="6">
        <v>14078263.67</v>
      </c>
      <c r="D45">
        <f>VLOOKUP(A45,Sheet1!$N$4:$O$136,2,FALSE)</f>
        <v>369038</v>
      </c>
      <c r="E45">
        <f>VLOOKUP(B45,Sheet1!$N$4:$O$136,2,FALSE)</f>
        <v>551389</v>
      </c>
      <c r="F45" t="s">
        <v>48</v>
      </c>
      <c r="G45" t="s">
        <v>108</v>
      </c>
      <c r="I45" t="str">
        <f t="shared" si="0"/>
        <v>1709649665, 1734624733,[Per Suspense SOP]</v>
      </c>
      <c r="P45" t="s">
        <v>152</v>
      </c>
    </row>
    <row r="46" spans="1:16" x14ac:dyDescent="0.25">
      <c r="A46">
        <v>1710390415</v>
      </c>
      <c r="B46">
        <v>1734624735</v>
      </c>
      <c r="C46" s="6">
        <v>14480161.800000001</v>
      </c>
      <c r="D46">
        <f>VLOOKUP(A46,Sheet1!$N$4:$O$136,2,FALSE)</f>
        <v>369038</v>
      </c>
      <c r="E46">
        <f>VLOOKUP(B46,Sheet1!$N$4:$O$136,2,FALSE)</f>
        <v>551389</v>
      </c>
      <c r="F46" t="s">
        <v>49</v>
      </c>
      <c r="G46" t="s">
        <v>108</v>
      </c>
      <c r="I46" t="str">
        <f t="shared" si="0"/>
        <v>1710390415, 1734624735,[Per Suspense SOP]</v>
      </c>
      <c r="P46" t="s">
        <v>153</v>
      </c>
    </row>
    <row r="47" spans="1:16" x14ac:dyDescent="0.25">
      <c r="A47">
        <v>1711572936</v>
      </c>
      <c r="B47">
        <v>1734624737</v>
      </c>
      <c r="C47" s="6">
        <v>4169411.46</v>
      </c>
      <c r="D47">
        <f>VLOOKUP(A47,Sheet1!$N$4:$O$136,2,FALSE)</f>
        <v>369038</v>
      </c>
      <c r="E47">
        <f>VLOOKUP(B47,Sheet1!$N$4:$O$136,2,FALSE)</f>
        <v>551389</v>
      </c>
      <c r="F47" t="s">
        <v>50</v>
      </c>
      <c r="G47" t="s">
        <v>108</v>
      </c>
      <c r="I47" t="str">
        <f t="shared" si="0"/>
        <v>1711572936, 1734624737,[Per Suspense SOP]</v>
      </c>
      <c r="P47" t="s">
        <v>154</v>
      </c>
    </row>
    <row r="48" spans="1:16" x14ac:dyDescent="0.25">
      <c r="A48">
        <v>1712757847</v>
      </c>
      <c r="B48">
        <v>1734624739</v>
      </c>
      <c r="C48" s="6">
        <v>4169771.29</v>
      </c>
      <c r="D48">
        <f>VLOOKUP(A48,Sheet1!$N$4:$O$136,2,FALSE)</f>
        <v>369038</v>
      </c>
      <c r="E48">
        <f>VLOOKUP(B48,Sheet1!$N$4:$O$136,2,FALSE)</f>
        <v>551389</v>
      </c>
      <c r="F48" t="s">
        <v>51</v>
      </c>
      <c r="G48" t="s">
        <v>108</v>
      </c>
      <c r="I48" t="str">
        <f t="shared" si="0"/>
        <v>1712757847, 1734624739,[Per Suspense SOP]</v>
      </c>
      <c r="P48" t="s">
        <v>155</v>
      </c>
    </row>
    <row r="49" spans="1:16" x14ac:dyDescent="0.25">
      <c r="A49">
        <v>1714404908</v>
      </c>
      <c r="B49">
        <v>1734624741</v>
      </c>
      <c r="C49" s="6">
        <v>20070850.859999999</v>
      </c>
      <c r="D49">
        <f>VLOOKUP(A49,Sheet1!$N$4:$O$136,2,FALSE)</f>
        <v>369038</v>
      </c>
      <c r="E49">
        <f>VLOOKUP(B49,Sheet1!$N$4:$O$136,2,FALSE)</f>
        <v>551389</v>
      </c>
      <c r="F49" t="s">
        <v>52</v>
      </c>
      <c r="G49" t="s">
        <v>108</v>
      </c>
      <c r="I49" t="str">
        <f t="shared" si="0"/>
        <v>1714404908, 1734624741,[Per Suspense SOP]</v>
      </c>
      <c r="P49" t="s">
        <v>156</v>
      </c>
    </row>
    <row r="50" spans="1:16" x14ac:dyDescent="0.25">
      <c r="A50">
        <v>1715446336</v>
      </c>
      <c r="B50">
        <v>1734624743</v>
      </c>
      <c r="C50" s="6">
        <v>57592583</v>
      </c>
      <c r="D50">
        <f>VLOOKUP(A50,Sheet1!$N$4:$O$136,2,FALSE)</f>
        <v>369038</v>
      </c>
      <c r="E50">
        <f>VLOOKUP(B50,Sheet1!$N$4:$O$136,2,FALSE)</f>
        <v>551389</v>
      </c>
      <c r="F50" t="s">
        <v>53</v>
      </c>
      <c r="G50" t="s">
        <v>108</v>
      </c>
      <c r="I50" t="str">
        <f t="shared" si="0"/>
        <v>1715446336, 1734624743,[Per Suspense SOP]</v>
      </c>
      <c r="P50" t="s">
        <v>157</v>
      </c>
    </row>
    <row r="51" spans="1:16" x14ac:dyDescent="0.25">
      <c r="A51">
        <v>1716342311</v>
      </c>
      <c r="B51">
        <v>1734624745</v>
      </c>
      <c r="C51" s="6">
        <v>6257441.9500000002</v>
      </c>
      <c r="D51">
        <f>VLOOKUP(A51,Sheet1!$N$4:$O$136,2,FALSE)</f>
        <v>369038</v>
      </c>
      <c r="E51">
        <f>VLOOKUP(B51,Sheet1!$N$4:$O$136,2,FALSE)</f>
        <v>551389</v>
      </c>
      <c r="F51" t="s">
        <v>54</v>
      </c>
      <c r="G51" t="s">
        <v>108</v>
      </c>
      <c r="I51" t="str">
        <f t="shared" si="0"/>
        <v>1716342311, 1734624745,[Per Suspense SOP]</v>
      </c>
      <c r="P51" t="s">
        <v>158</v>
      </c>
    </row>
    <row r="52" spans="1:16" x14ac:dyDescent="0.25">
      <c r="A52">
        <v>1717299750</v>
      </c>
      <c r="B52">
        <v>1734624747</v>
      </c>
      <c r="C52" s="6">
        <v>15512681.98</v>
      </c>
      <c r="D52">
        <f>VLOOKUP(A52,Sheet1!$N$4:$O$136,2,FALSE)</f>
        <v>369038</v>
      </c>
      <c r="E52">
        <f>VLOOKUP(B52,Sheet1!$N$4:$O$136,2,FALSE)</f>
        <v>551389</v>
      </c>
      <c r="F52" t="s">
        <v>55</v>
      </c>
      <c r="G52" t="s">
        <v>108</v>
      </c>
      <c r="I52" t="str">
        <f t="shared" si="0"/>
        <v>1717299750, 1734624747,[Per Suspense SOP]</v>
      </c>
      <c r="P52" t="s">
        <v>159</v>
      </c>
    </row>
    <row r="53" spans="1:16" x14ac:dyDescent="0.25">
      <c r="A53">
        <v>1718368860</v>
      </c>
      <c r="B53">
        <v>1734624749</v>
      </c>
      <c r="C53" s="6">
        <v>4131731.86</v>
      </c>
      <c r="D53">
        <f>VLOOKUP(A53,Sheet1!$N$4:$O$136,2,FALSE)</f>
        <v>369038</v>
      </c>
      <c r="E53">
        <f>VLOOKUP(B53,Sheet1!$N$4:$O$136,2,FALSE)</f>
        <v>551389</v>
      </c>
      <c r="F53" t="s">
        <v>56</v>
      </c>
      <c r="G53" t="s">
        <v>108</v>
      </c>
      <c r="I53" t="str">
        <f t="shared" si="0"/>
        <v>1718368860, 1734624749,[Per Suspense SOP]</v>
      </c>
      <c r="P53" t="s">
        <v>160</v>
      </c>
    </row>
    <row r="54" spans="1:16" x14ac:dyDescent="0.25">
      <c r="A54">
        <v>1719434901</v>
      </c>
      <c r="B54">
        <v>1734624751</v>
      </c>
      <c r="C54" s="6">
        <v>13833801.58</v>
      </c>
      <c r="D54">
        <f>VLOOKUP(A54,Sheet1!$N$4:$O$136,2,FALSE)</f>
        <v>369038</v>
      </c>
      <c r="E54">
        <f>VLOOKUP(B54,Sheet1!$N$4:$O$136,2,FALSE)</f>
        <v>551389</v>
      </c>
      <c r="F54" t="s">
        <v>57</v>
      </c>
      <c r="G54" t="s">
        <v>108</v>
      </c>
      <c r="I54" t="str">
        <f t="shared" si="0"/>
        <v>1719434901, 1734624751,[Per Suspense SOP]</v>
      </c>
      <c r="P54" t="s">
        <v>161</v>
      </c>
    </row>
    <row r="55" spans="1:16" x14ac:dyDescent="0.25">
      <c r="A55">
        <v>1721889032</v>
      </c>
      <c r="B55">
        <v>1734624753</v>
      </c>
      <c r="C55" s="6">
        <v>9450995.4600000009</v>
      </c>
      <c r="D55">
        <f>VLOOKUP(A55,Sheet1!$N$4:$O$136,2,FALSE)</f>
        <v>369038</v>
      </c>
      <c r="E55">
        <f>VLOOKUP(B55,Sheet1!$N$4:$O$136,2,FALSE)</f>
        <v>551389</v>
      </c>
      <c r="F55" t="s">
        <v>58</v>
      </c>
      <c r="G55" t="s">
        <v>108</v>
      </c>
      <c r="I55" t="str">
        <f t="shared" si="0"/>
        <v>1721889032, 1734624753,[Per Suspense SOP]</v>
      </c>
      <c r="P55" t="s">
        <v>162</v>
      </c>
    </row>
    <row r="56" spans="1:16" x14ac:dyDescent="0.25">
      <c r="A56">
        <v>1723352923</v>
      </c>
      <c r="B56">
        <v>1734624755</v>
      </c>
      <c r="C56" s="6">
        <v>9451811.0899999999</v>
      </c>
      <c r="D56">
        <f>VLOOKUP(A56,Sheet1!$N$4:$O$136,2,FALSE)</f>
        <v>369038</v>
      </c>
      <c r="E56">
        <f>VLOOKUP(B56,Sheet1!$N$4:$O$136,2,FALSE)</f>
        <v>551389</v>
      </c>
      <c r="F56" t="s">
        <v>59</v>
      </c>
      <c r="G56" t="s">
        <v>108</v>
      </c>
      <c r="I56" t="str">
        <f t="shared" si="0"/>
        <v>1723352923, 1734624755,[Per Suspense SOP]</v>
      </c>
      <c r="P56" t="s">
        <v>163</v>
      </c>
    </row>
    <row r="57" spans="1:16" x14ac:dyDescent="0.25">
      <c r="A57">
        <v>1725337486</v>
      </c>
      <c r="B57">
        <v>1734624757</v>
      </c>
      <c r="C57" s="6">
        <v>9391776.5</v>
      </c>
      <c r="D57">
        <f>VLOOKUP(A57,Sheet1!$N$4:$O$136,2,FALSE)</f>
        <v>369038</v>
      </c>
      <c r="E57">
        <f>VLOOKUP(B57,Sheet1!$N$4:$O$136,2,FALSE)</f>
        <v>551389</v>
      </c>
      <c r="F57" t="s">
        <v>60</v>
      </c>
      <c r="G57" t="s">
        <v>108</v>
      </c>
      <c r="I57" t="str">
        <f t="shared" si="0"/>
        <v>1725337486, 1734624757,[Per Suspense SOP]</v>
      </c>
      <c r="P57" t="s">
        <v>164</v>
      </c>
    </row>
    <row r="58" spans="1:16" x14ac:dyDescent="0.25">
      <c r="A58">
        <v>1734624643</v>
      </c>
      <c r="B58">
        <v>1734624709</v>
      </c>
      <c r="C58" s="6">
        <v>440000</v>
      </c>
      <c r="D58">
        <f>VLOOKUP(A58,Sheet1!$N$4:$O$136,2,FALSE)</f>
        <v>551375</v>
      </c>
      <c r="E58">
        <f>VLOOKUP(B58,Sheet1!$N$4:$O$136,2,FALSE)</f>
        <v>551400</v>
      </c>
      <c r="F58" t="s">
        <v>30</v>
      </c>
      <c r="G58" t="s">
        <v>108</v>
      </c>
      <c r="I58" t="str">
        <f t="shared" si="0"/>
        <v>1734624643, 1734624709,[Per Suspense SOP]</v>
      </c>
      <c r="P58" t="s">
        <v>134</v>
      </c>
    </row>
    <row r="59" spans="1:16" x14ac:dyDescent="0.25">
      <c r="A59">
        <v>1734622519</v>
      </c>
      <c r="B59">
        <v>1734624709</v>
      </c>
      <c r="C59" s="6">
        <v>440000</v>
      </c>
      <c r="D59">
        <f>VLOOKUP(A59,Sheet1!$N$4:$O$136,2,FALSE)</f>
        <v>369050</v>
      </c>
      <c r="E59">
        <f>VLOOKUP(B59,Sheet1!$N$4:$O$136,2,FALSE)</f>
        <v>551400</v>
      </c>
      <c r="F59" t="s">
        <v>61</v>
      </c>
      <c r="G59" t="s">
        <v>108</v>
      </c>
      <c r="I59" t="str">
        <f t="shared" si="0"/>
        <v>1734622519, 1734624709,[Per Suspense SOP]</v>
      </c>
      <c r="P59" t="s">
        <v>165</v>
      </c>
    </row>
    <row r="60" spans="1:16" x14ac:dyDescent="0.25">
      <c r="A60" s="7">
        <v>1734622496</v>
      </c>
      <c r="B60" s="7">
        <v>1734624632</v>
      </c>
      <c r="C60" s="8">
        <v>44500000</v>
      </c>
      <c r="D60">
        <f>VLOOKUP(A60,Sheet1!$N$4:$O$136,2,FALSE)</f>
        <v>369053</v>
      </c>
      <c r="E60">
        <f>VLOOKUP(B60,Sheet1!$N$4:$O$136,2,FALSE)</f>
        <v>551375</v>
      </c>
      <c r="F60" s="7" t="s">
        <v>62</v>
      </c>
      <c r="G60" s="7" t="s">
        <v>108</v>
      </c>
      <c r="H60" s="7"/>
      <c r="I60" s="7" t="str">
        <f t="shared" si="0"/>
        <v>1734622496, 1734624632,[Per Suspense SOP]</v>
      </c>
      <c r="J60" s="7"/>
      <c r="K60" s="7"/>
      <c r="L60" s="7"/>
      <c r="M60" s="7"/>
      <c r="N60" s="7"/>
      <c r="O60" s="7"/>
      <c r="P60" s="7" t="s">
        <v>166</v>
      </c>
    </row>
    <row r="61" spans="1:16" x14ac:dyDescent="0.25">
      <c r="A61" s="7">
        <v>1734624704</v>
      </c>
      <c r="B61" s="7">
        <v>1734624632</v>
      </c>
      <c r="C61" s="8">
        <v>44500000</v>
      </c>
      <c r="D61">
        <f>VLOOKUP(A61,Sheet1!$N$4:$O$136,2,FALSE)</f>
        <v>551400</v>
      </c>
      <c r="E61">
        <f>VLOOKUP(B61,Sheet1!$N$4:$O$136,2,FALSE)</f>
        <v>551375</v>
      </c>
      <c r="F61" s="7" t="s">
        <v>23</v>
      </c>
      <c r="G61" s="7" t="s">
        <v>108</v>
      </c>
      <c r="H61" s="7"/>
      <c r="I61" s="7" t="str">
        <f t="shared" si="0"/>
        <v>1734624704, 1734624632,[Per Suspense SOP]</v>
      </c>
      <c r="J61" s="7"/>
      <c r="K61" s="7"/>
      <c r="L61" s="7"/>
      <c r="M61" s="7"/>
      <c r="N61" s="7"/>
      <c r="O61" s="7"/>
      <c r="P61" s="7" t="s">
        <v>127</v>
      </c>
    </row>
    <row r="62" spans="1:16" x14ac:dyDescent="0.25">
      <c r="A62">
        <v>1734624706</v>
      </c>
      <c r="B62">
        <v>1734624636</v>
      </c>
      <c r="C62" s="6">
        <v>2000000</v>
      </c>
      <c r="D62">
        <f>VLOOKUP(A62,Sheet1!$N$4:$O$136,2,FALSE)</f>
        <v>551400</v>
      </c>
      <c r="E62">
        <f>VLOOKUP(B62,Sheet1!$N$4:$O$136,2,FALSE)</f>
        <v>551375</v>
      </c>
      <c r="F62" t="s">
        <v>26</v>
      </c>
      <c r="G62" t="s">
        <v>108</v>
      </c>
      <c r="I62" t="str">
        <f t="shared" si="0"/>
        <v>1734624706, 1734624636,[Per Suspense SOP]</v>
      </c>
      <c r="P62" t="s">
        <v>130</v>
      </c>
    </row>
    <row r="63" spans="1:16" x14ac:dyDescent="0.25">
      <c r="A63">
        <v>1734622497</v>
      </c>
      <c r="B63">
        <v>1734624636</v>
      </c>
      <c r="C63" s="6">
        <v>2000000</v>
      </c>
      <c r="D63">
        <f>VLOOKUP(A63,Sheet1!$N$4:$O$136,2,FALSE)</f>
        <v>369053</v>
      </c>
      <c r="E63">
        <f>VLOOKUP(B63,Sheet1!$N$4:$O$136,2,FALSE)</f>
        <v>551375</v>
      </c>
      <c r="F63" t="s">
        <v>63</v>
      </c>
      <c r="G63" t="s">
        <v>108</v>
      </c>
      <c r="I63" t="str">
        <f t="shared" si="0"/>
        <v>1734622497, 1734624636,[Per Suspense SOP]</v>
      </c>
      <c r="P63" t="s">
        <v>167</v>
      </c>
    </row>
    <row r="64" spans="1:16" x14ac:dyDescent="0.25">
      <c r="A64">
        <v>1734624707</v>
      </c>
      <c r="B64">
        <v>1734624639</v>
      </c>
      <c r="C64" s="6">
        <v>3700000</v>
      </c>
      <c r="D64">
        <f>VLOOKUP(A64,Sheet1!$N$4:$O$136,2,FALSE)</f>
        <v>551400</v>
      </c>
      <c r="E64">
        <f>VLOOKUP(B64,Sheet1!$N$4:$O$136,2,FALSE)</f>
        <v>551375</v>
      </c>
      <c r="F64" t="s">
        <v>28</v>
      </c>
      <c r="G64" t="s">
        <v>108</v>
      </c>
      <c r="I64" t="str">
        <f t="shared" si="0"/>
        <v>1734624707, 1734624639,[Per Suspense SOP]</v>
      </c>
      <c r="P64" t="s">
        <v>132</v>
      </c>
    </row>
    <row r="65" spans="1:16" x14ac:dyDescent="0.25">
      <c r="A65">
        <v>1734622498</v>
      </c>
      <c r="B65">
        <v>1734624639</v>
      </c>
      <c r="C65" s="6">
        <v>3700000</v>
      </c>
      <c r="D65">
        <f>VLOOKUP(A65,Sheet1!$N$4:$O$136,2,FALSE)</f>
        <v>369053</v>
      </c>
      <c r="E65">
        <f>VLOOKUP(B65,Sheet1!$N$4:$O$136,2,FALSE)</f>
        <v>551375</v>
      </c>
      <c r="F65" t="s">
        <v>64</v>
      </c>
      <c r="G65" t="s">
        <v>108</v>
      </c>
      <c r="I65" t="str">
        <f t="shared" si="0"/>
        <v>1734622498, 1734624639,[Per Suspense SOP]</v>
      </c>
      <c r="P65" t="s">
        <v>168</v>
      </c>
    </row>
    <row r="66" spans="1:16" x14ac:dyDescent="0.25">
      <c r="A66">
        <v>1734624630</v>
      </c>
      <c r="B66">
        <v>1734624710</v>
      </c>
      <c r="C66" s="6">
        <v>44055000</v>
      </c>
      <c r="D66">
        <f>VLOOKUP(A66,Sheet1!$N$4:$O$136,2,FALSE)</f>
        <v>551404</v>
      </c>
      <c r="E66">
        <f>VLOOKUP(B66,Sheet1!$N$4:$O$136,2,FALSE)</f>
        <v>551400</v>
      </c>
      <c r="F66" t="s">
        <v>31</v>
      </c>
      <c r="G66" t="s">
        <v>108</v>
      </c>
      <c r="I66" t="str">
        <f t="shared" si="0"/>
        <v>1734624630, 1734624710,[Per Suspense SOP]</v>
      </c>
      <c r="P66" t="s">
        <v>135</v>
      </c>
    </row>
    <row r="67" spans="1:16" x14ac:dyDescent="0.25">
      <c r="A67">
        <v>1734622504</v>
      </c>
      <c r="B67">
        <v>1734624710</v>
      </c>
      <c r="C67" s="6">
        <v>44055000</v>
      </c>
      <c r="D67">
        <f>VLOOKUP(A67,Sheet1!$N$4:$O$136,2,FALSE)</f>
        <v>369050</v>
      </c>
      <c r="E67">
        <f>VLOOKUP(B67,Sheet1!$N$4:$O$136,2,FALSE)</f>
        <v>551400</v>
      </c>
      <c r="F67" t="s">
        <v>65</v>
      </c>
      <c r="G67" t="s">
        <v>108</v>
      </c>
      <c r="I67" t="str">
        <f t="shared" ref="I67:I130" si="1">F67&amp;","&amp;G67</f>
        <v>1734622504, 1734624710,[Per Suspense SOP]</v>
      </c>
      <c r="P67" t="s">
        <v>169</v>
      </c>
    </row>
    <row r="68" spans="1:16" x14ac:dyDescent="0.25">
      <c r="A68">
        <v>1734624671</v>
      </c>
      <c r="B68">
        <v>1734624713</v>
      </c>
      <c r="C68" s="6">
        <v>445000</v>
      </c>
      <c r="D68">
        <f>VLOOKUP(A68,Sheet1!$N$4:$O$136,2,FALSE)</f>
        <v>551374</v>
      </c>
      <c r="E68">
        <f>VLOOKUP(B68,Sheet1!$N$4:$O$136,2,FALSE)</f>
        <v>551400</v>
      </c>
      <c r="F68" t="s">
        <v>37</v>
      </c>
      <c r="G68" t="s">
        <v>108</v>
      </c>
      <c r="I68" t="str">
        <f t="shared" si="1"/>
        <v>1734624671, 1734624713,[Per Suspense SOP]</v>
      </c>
      <c r="P68" t="s">
        <v>141</v>
      </c>
    </row>
    <row r="69" spans="1:16" x14ac:dyDescent="0.25">
      <c r="A69">
        <v>1734622502</v>
      </c>
      <c r="B69">
        <v>1734624713</v>
      </c>
      <c r="C69" s="6">
        <v>445000</v>
      </c>
      <c r="D69">
        <f>VLOOKUP(A69,Sheet1!$N$4:$O$136,2,FALSE)</f>
        <v>369050</v>
      </c>
      <c r="E69">
        <f>VLOOKUP(B69,Sheet1!$N$4:$O$136,2,FALSE)</f>
        <v>551400</v>
      </c>
      <c r="F69" t="s">
        <v>66</v>
      </c>
      <c r="G69" t="s">
        <v>108</v>
      </c>
      <c r="I69" t="str">
        <f t="shared" si="1"/>
        <v>1734622502, 1734624713,[Per Suspense SOP]</v>
      </c>
      <c r="P69" t="s">
        <v>170</v>
      </c>
    </row>
    <row r="70" spans="1:16" x14ac:dyDescent="0.25">
      <c r="A70">
        <v>1734622515</v>
      </c>
      <c r="B70">
        <v>1734624714</v>
      </c>
      <c r="C70" s="6">
        <v>1980000</v>
      </c>
      <c r="D70">
        <f>VLOOKUP(A70,Sheet1!$N$4:$O$136,2,FALSE)</f>
        <v>369050</v>
      </c>
      <c r="E70">
        <f>VLOOKUP(B70,Sheet1!$N$4:$O$136,2,FALSE)</f>
        <v>551400</v>
      </c>
      <c r="F70" t="s">
        <v>67</v>
      </c>
      <c r="G70" t="s">
        <v>108</v>
      </c>
      <c r="I70" t="str">
        <f t="shared" si="1"/>
        <v>1734622515, 1734624714,[Per Suspense SOP]</v>
      </c>
      <c r="P70" t="s">
        <v>171</v>
      </c>
    </row>
    <row r="71" spans="1:16" x14ac:dyDescent="0.25">
      <c r="A71">
        <v>1734624631</v>
      </c>
      <c r="B71">
        <v>1734624714</v>
      </c>
      <c r="C71" s="6">
        <v>1980000</v>
      </c>
      <c r="D71">
        <f>VLOOKUP(A71,Sheet1!$N$4:$O$136,2,FALSE)</f>
        <v>551404</v>
      </c>
      <c r="E71">
        <f>VLOOKUP(B71,Sheet1!$N$4:$O$136,2,FALSE)</f>
        <v>551400</v>
      </c>
      <c r="F71" t="s">
        <v>34</v>
      </c>
      <c r="G71" t="s">
        <v>108</v>
      </c>
      <c r="I71" t="str">
        <f t="shared" si="1"/>
        <v>1734624631, 1734624714,[Per Suspense SOP]</v>
      </c>
      <c r="P71" t="s">
        <v>138</v>
      </c>
    </row>
    <row r="72" spans="1:16" x14ac:dyDescent="0.25">
      <c r="A72">
        <v>1734622508</v>
      </c>
      <c r="B72">
        <v>1734624715</v>
      </c>
      <c r="C72" s="6">
        <v>20000</v>
      </c>
      <c r="D72">
        <f>VLOOKUP(A72,Sheet1!$N$4:$O$136,2,FALSE)</f>
        <v>369050</v>
      </c>
      <c r="E72">
        <f>VLOOKUP(B72,Sheet1!$N$4:$O$136,2,FALSE)</f>
        <v>551400</v>
      </c>
      <c r="F72" t="s">
        <v>68</v>
      </c>
      <c r="G72" t="s">
        <v>108</v>
      </c>
      <c r="I72" t="str">
        <f t="shared" si="1"/>
        <v>1734622508, 1734624715,[Per Suspense SOP]</v>
      </c>
      <c r="P72" t="s">
        <v>172</v>
      </c>
    </row>
    <row r="73" spans="1:16" x14ac:dyDescent="0.25">
      <c r="A73">
        <v>1734624674</v>
      </c>
      <c r="B73">
        <v>1734624715</v>
      </c>
      <c r="C73" s="6">
        <v>20000</v>
      </c>
      <c r="D73">
        <f>VLOOKUP(A73,Sheet1!$N$4:$O$136,2,FALSE)</f>
        <v>551374</v>
      </c>
      <c r="E73">
        <f>VLOOKUP(B73,Sheet1!$N$4:$O$136,2,FALSE)</f>
        <v>551400</v>
      </c>
      <c r="F73" t="s">
        <v>40</v>
      </c>
      <c r="G73" t="s">
        <v>108</v>
      </c>
      <c r="I73" t="str">
        <f t="shared" si="1"/>
        <v>1734624674, 1734624715,[Per Suspense SOP]</v>
      </c>
      <c r="P73" t="s">
        <v>144</v>
      </c>
    </row>
    <row r="74" spans="1:16" x14ac:dyDescent="0.25">
      <c r="A74">
        <v>1734622516</v>
      </c>
      <c r="B74">
        <v>1734624717</v>
      </c>
      <c r="C74" s="6">
        <v>3663000</v>
      </c>
      <c r="D74">
        <f>VLOOKUP(A74,Sheet1!$N$4:$O$136,2,FALSE)</f>
        <v>369050</v>
      </c>
      <c r="E74">
        <f>VLOOKUP(B74,Sheet1!$N$4:$O$136,2,FALSE)</f>
        <v>551400</v>
      </c>
      <c r="F74" t="s">
        <v>69</v>
      </c>
      <c r="G74" t="s">
        <v>108</v>
      </c>
      <c r="I74" t="str">
        <f t="shared" si="1"/>
        <v>1734622516, 1734624717,[Per Suspense SOP]</v>
      </c>
      <c r="P74" t="s">
        <v>173</v>
      </c>
    </row>
    <row r="75" spans="1:16" x14ac:dyDescent="0.25">
      <c r="A75">
        <v>1734624637</v>
      </c>
      <c r="B75">
        <v>1734624717</v>
      </c>
      <c r="C75" s="6">
        <v>3663000</v>
      </c>
      <c r="D75">
        <f>VLOOKUP(A75,Sheet1!$N$4:$O$136,2,FALSE)</f>
        <v>551404</v>
      </c>
      <c r="E75">
        <f>VLOOKUP(B75,Sheet1!$N$4:$O$136,2,FALSE)</f>
        <v>551400</v>
      </c>
      <c r="F75" t="s">
        <v>36</v>
      </c>
      <c r="G75" t="s">
        <v>108</v>
      </c>
      <c r="I75" t="str">
        <f t="shared" si="1"/>
        <v>1734624637, 1734624717,[Per Suspense SOP]</v>
      </c>
      <c r="P75" t="s">
        <v>140</v>
      </c>
    </row>
    <row r="76" spans="1:16" x14ac:dyDescent="0.25">
      <c r="A76">
        <v>1734622513</v>
      </c>
      <c r="B76">
        <v>1734624718</v>
      </c>
      <c r="C76" s="6">
        <v>37000</v>
      </c>
      <c r="D76">
        <f>VLOOKUP(A76,Sheet1!$N$4:$O$136,2,FALSE)</f>
        <v>369050</v>
      </c>
      <c r="E76">
        <f>VLOOKUP(B76,Sheet1!$N$4:$O$136,2,FALSE)</f>
        <v>551400</v>
      </c>
      <c r="F76" t="s">
        <v>70</v>
      </c>
      <c r="G76" t="s">
        <v>108</v>
      </c>
      <c r="I76" t="str">
        <f t="shared" si="1"/>
        <v>1734622513, 1734624718,[Per Suspense SOP]</v>
      </c>
      <c r="P76" t="s">
        <v>174</v>
      </c>
    </row>
    <row r="77" spans="1:16" x14ac:dyDescent="0.25">
      <c r="A77">
        <v>1734624675</v>
      </c>
      <c r="B77">
        <v>1734624718</v>
      </c>
      <c r="C77" s="6">
        <v>37000</v>
      </c>
      <c r="D77">
        <f>VLOOKUP(A77,Sheet1!$N$4:$O$136,2,FALSE)</f>
        <v>551374</v>
      </c>
      <c r="E77">
        <f>VLOOKUP(B77,Sheet1!$N$4:$O$136,2,FALSE)</f>
        <v>551400</v>
      </c>
      <c r="F77" t="s">
        <v>42</v>
      </c>
      <c r="G77" t="s">
        <v>108</v>
      </c>
      <c r="I77" t="str">
        <f t="shared" si="1"/>
        <v>1734624675, 1734624718,[Per Suspense SOP]</v>
      </c>
      <c r="P77" t="s">
        <v>146</v>
      </c>
    </row>
    <row r="78" spans="1:16" x14ac:dyDescent="0.25">
      <c r="A78">
        <v>1709649674</v>
      </c>
      <c r="B78">
        <v>1734624678</v>
      </c>
      <c r="C78" s="6">
        <v>585496.6</v>
      </c>
      <c r="D78">
        <f>VLOOKUP(A78,Sheet1!$N$4:$O$136,2,FALSE)</f>
        <v>369041</v>
      </c>
      <c r="E78">
        <f>VLOOKUP(B78,Sheet1!$N$4:$O$136,2,FALSE)</f>
        <v>551374</v>
      </c>
      <c r="F78" t="s">
        <v>71</v>
      </c>
      <c r="G78" t="s">
        <v>108</v>
      </c>
      <c r="I78" t="str">
        <f t="shared" si="1"/>
        <v>1709649674, 1734624678,[Per Suspense SOP]</v>
      </c>
      <c r="P78" t="s">
        <v>175</v>
      </c>
    </row>
    <row r="79" spans="1:16" x14ac:dyDescent="0.25">
      <c r="A79">
        <v>1721859834</v>
      </c>
      <c r="B79">
        <v>1734624681</v>
      </c>
      <c r="C79" s="6">
        <v>585522.43000000005</v>
      </c>
      <c r="D79">
        <f>VLOOKUP(A79,Sheet1!$N$4:$O$136,2,FALSE)</f>
        <v>369041</v>
      </c>
      <c r="E79">
        <f>VLOOKUP(B79,Sheet1!$N$4:$O$136,2,FALSE)</f>
        <v>551374</v>
      </c>
      <c r="F79" t="s">
        <v>72</v>
      </c>
      <c r="G79" t="s">
        <v>108</v>
      </c>
      <c r="I79" t="str">
        <f t="shared" si="1"/>
        <v>1721859834, 1734624681,[Per Suspense SOP]</v>
      </c>
      <c r="P79" t="s">
        <v>176</v>
      </c>
    </row>
    <row r="80" spans="1:16" x14ac:dyDescent="0.25">
      <c r="A80">
        <v>1725337590</v>
      </c>
      <c r="B80">
        <v>1734624672</v>
      </c>
      <c r="C80" s="6">
        <v>8333.33</v>
      </c>
      <c r="D80">
        <f>VLOOKUP(A80,Sheet1!$N$4:$O$136,2,FALSE)</f>
        <v>369052</v>
      </c>
      <c r="E80">
        <f>VLOOKUP(B80,Sheet1!$N$4:$O$136,2,FALSE)</f>
        <v>551402</v>
      </c>
      <c r="F80" t="s">
        <v>73</v>
      </c>
      <c r="G80" t="s">
        <v>108</v>
      </c>
      <c r="I80" t="str">
        <f t="shared" si="1"/>
        <v>1725337590, 1734624672,[Per Suspense SOP]</v>
      </c>
      <c r="P80" t="s">
        <v>177</v>
      </c>
    </row>
    <row r="81" spans="1:16" x14ac:dyDescent="0.25">
      <c r="A81">
        <v>1725337590</v>
      </c>
      <c r="B81">
        <v>1734624657</v>
      </c>
      <c r="C81" s="6">
        <v>8333.33</v>
      </c>
      <c r="D81">
        <f>VLOOKUP(A81,Sheet1!$N$4:$O$136,2,FALSE)</f>
        <v>369052</v>
      </c>
      <c r="E81">
        <f>VLOOKUP(B81,Sheet1!$N$4:$O$136,2,FALSE)</f>
        <v>551402</v>
      </c>
      <c r="F81" t="s">
        <v>74</v>
      </c>
      <c r="G81" t="s">
        <v>108</v>
      </c>
      <c r="I81" t="str">
        <f t="shared" si="1"/>
        <v>1725337590, 1734624657,[Per Suspense SOP]</v>
      </c>
      <c r="P81" t="s">
        <v>178</v>
      </c>
    </row>
    <row r="82" spans="1:16" x14ac:dyDescent="0.25">
      <c r="A82">
        <v>1725337590</v>
      </c>
      <c r="B82">
        <v>1734624670</v>
      </c>
      <c r="C82" s="6">
        <v>8333.33</v>
      </c>
      <c r="D82">
        <f>VLOOKUP(A82,Sheet1!$N$4:$O$136,2,FALSE)</f>
        <v>369052</v>
      </c>
      <c r="E82">
        <f>VLOOKUP(B82,Sheet1!$N$4:$O$136,2,FALSE)</f>
        <v>551402</v>
      </c>
      <c r="F82" t="s">
        <v>75</v>
      </c>
      <c r="G82" t="s">
        <v>108</v>
      </c>
      <c r="I82" t="str">
        <f t="shared" si="1"/>
        <v>1725337590, 1734624670,[Per Suspense SOP]</v>
      </c>
      <c r="P82" t="s">
        <v>179</v>
      </c>
    </row>
    <row r="83" spans="1:16" x14ac:dyDescent="0.25">
      <c r="A83">
        <v>1725337590</v>
      </c>
      <c r="B83">
        <v>1734624654</v>
      </c>
      <c r="C83" s="6">
        <v>8333.33</v>
      </c>
      <c r="D83">
        <f>VLOOKUP(A83,Sheet1!$N$4:$O$136,2,FALSE)</f>
        <v>369052</v>
      </c>
      <c r="E83">
        <f>VLOOKUP(B83,Sheet1!$N$4:$O$136,2,FALSE)</f>
        <v>551402</v>
      </c>
      <c r="F83" t="s">
        <v>76</v>
      </c>
      <c r="G83" t="s">
        <v>108</v>
      </c>
      <c r="I83" t="str">
        <f t="shared" si="1"/>
        <v>1725337590, 1734624654,[Per Suspense SOP]</v>
      </c>
      <c r="P83" t="s">
        <v>180</v>
      </c>
    </row>
    <row r="84" spans="1:16" x14ac:dyDescent="0.25">
      <c r="A84">
        <v>1725337590</v>
      </c>
      <c r="B84">
        <v>1734624677</v>
      </c>
      <c r="C84" s="6">
        <v>8333.33</v>
      </c>
      <c r="D84">
        <f>VLOOKUP(A84,Sheet1!$N$4:$O$136,2,FALSE)</f>
        <v>369052</v>
      </c>
      <c r="E84">
        <f>VLOOKUP(B84,Sheet1!$N$4:$O$136,2,FALSE)</f>
        <v>551402</v>
      </c>
      <c r="F84" t="s">
        <v>77</v>
      </c>
      <c r="G84" t="s">
        <v>108</v>
      </c>
      <c r="I84" t="str">
        <f t="shared" si="1"/>
        <v>1725337590, 1734624677,[Per Suspense SOP]</v>
      </c>
      <c r="P84" t="s">
        <v>181</v>
      </c>
    </row>
    <row r="85" spans="1:16" x14ac:dyDescent="0.25">
      <c r="A85">
        <v>1725337590</v>
      </c>
      <c r="B85">
        <v>1734624663</v>
      </c>
      <c r="C85" s="6">
        <v>8333.33</v>
      </c>
      <c r="D85">
        <f>VLOOKUP(A85,Sheet1!$N$4:$O$136,2,FALSE)</f>
        <v>369052</v>
      </c>
      <c r="E85">
        <f>VLOOKUP(B85,Sheet1!$N$4:$O$136,2,FALSE)</f>
        <v>551402</v>
      </c>
      <c r="F85" t="s">
        <v>78</v>
      </c>
      <c r="G85" t="s">
        <v>108</v>
      </c>
      <c r="I85" t="str">
        <f t="shared" si="1"/>
        <v>1725337590, 1734624663,[Per Suspense SOP]</v>
      </c>
      <c r="P85" t="s">
        <v>182</v>
      </c>
    </row>
    <row r="86" spans="1:16" x14ac:dyDescent="0.25">
      <c r="A86">
        <v>1725337590</v>
      </c>
      <c r="B86">
        <v>1734624660</v>
      </c>
      <c r="C86" s="6">
        <v>8333.33</v>
      </c>
      <c r="D86">
        <f>VLOOKUP(A86,Sheet1!$N$4:$O$136,2,FALSE)</f>
        <v>369052</v>
      </c>
      <c r="E86">
        <f>VLOOKUP(B86,Sheet1!$N$4:$O$136,2,FALSE)</f>
        <v>551402</v>
      </c>
      <c r="F86" t="s">
        <v>79</v>
      </c>
      <c r="G86" t="s">
        <v>108</v>
      </c>
      <c r="I86" t="str">
        <f t="shared" si="1"/>
        <v>1725337590, 1734624660,[Per Suspense SOP]</v>
      </c>
      <c r="P86" t="s">
        <v>183</v>
      </c>
    </row>
    <row r="87" spans="1:16" x14ac:dyDescent="0.25">
      <c r="A87">
        <v>1725337590</v>
      </c>
      <c r="B87">
        <v>1734624667</v>
      </c>
      <c r="C87" s="6">
        <v>8333.33</v>
      </c>
      <c r="D87">
        <f>VLOOKUP(A87,Sheet1!$N$4:$O$136,2,FALSE)</f>
        <v>369052</v>
      </c>
      <c r="E87">
        <f>VLOOKUP(B87,Sheet1!$N$4:$O$136,2,FALSE)</f>
        <v>551402</v>
      </c>
      <c r="F87" t="s">
        <v>80</v>
      </c>
      <c r="G87" t="s">
        <v>108</v>
      </c>
      <c r="I87" t="str">
        <f t="shared" si="1"/>
        <v>1725337590, 1734624667,[Per Suspense SOP]</v>
      </c>
      <c r="P87" t="s">
        <v>184</v>
      </c>
    </row>
    <row r="88" spans="1:16" x14ac:dyDescent="0.25">
      <c r="A88">
        <v>1725337588</v>
      </c>
      <c r="B88">
        <v>1734624672</v>
      </c>
      <c r="C88" s="6">
        <v>8333.33</v>
      </c>
      <c r="D88">
        <f>VLOOKUP(A88,Sheet1!$N$4:$O$136,2,FALSE)</f>
        <v>369052</v>
      </c>
      <c r="E88">
        <f>VLOOKUP(B88,Sheet1!$N$4:$O$136,2,FALSE)</f>
        <v>551402</v>
      </c>
      <c r="F88" t="s">
        <v>81</v>
      </c>
      <c r="G88" t="s">
        <v>108</v>
      </c>
      <c r="I88" t="str">
        <f t="shared" si="1"/>
        <v>1725337588, 1734624672,[Per Suspense SOP]</v>
      </c>
      <c r="P88" t="s">
        <v>185</v>
      </c>
    </row>
    <row r="89" spans="1:16" x14ac:dyDescent="0.25">
      <c r="A89">
        <v>1725337588</v>
      </c>
      <c r="B89">
        <v>1734624657</v>
      </c>
      <c r="C89" s="6">
        <v>8333.33</v>
      </c>
      <c r="D89">
        <f>VLOOKUP(A89,Sheet1!$N$4:$O$136,2,FALSE)</f>
        <v>369052</v>
      </c>
      <c r="E89">
        <f>VLOOKUP(B89,Sheet1!$N$4:$O$136,2,FALSE)</f>
        <v>551402</v>
      </c>
      <c r="F89" t="s">
        <v>82</v>
      </c>
      <c r="G89" t="s">
        <v>108</v>
      </c>
      <c r="I89" t="str">
        <f t="shared" si="1"/>
        <v>1725337588, 1734624657,[Per Suspense SOP]</v>
      </c>
      <c r="P89" t="s">
        <v>186</v>
      </c>
    </row>
    <row r="90" spans="1:16" x14ac:dyDescent="0.25">
      <c r="A90">
        <v>1725337588</v>
      </c>
      <c r="B90">
        <v>1734624670</v>
      </c>
      <c r="C90" s="6">
        <v>8333.33</v>
      </c>
      <c r="D90">
        <f>VLOOKUP(A90,Sheet1!$N$4:$O$136,2,FALSE)</f>
        <v>369052</v>
      </c>
      <c r="E90">
        <f>VLOOKUP(B90,Sheet1!$N$4:$O$136,2,FALSE)</f>
        <v>551402</v>
      </c>
      <c r="F90" t="s">
        <v>83</v>
      </c>
      <c r="G90" t="s">
        <v>108</v>
      </c>
      <c r="I90" t="str">
        <f t="shared" si="1"/>
        <v>1725337588, 1734624670,[Per Suspense SOP]</v>
      </c>
      <c r="P90" t="s">
        <v>187</v>
      </c>
    </row>
    <row r="91" spans="1:16" x14ac:dyDescent="0.25">
      <c r="A91">
        <v>1725337588</v>
      </c>
      <c r="B91">
        <v>1734624654</v>
      </c>
      <c r="C91" s="6">
        <v>8333.33</v>
      </c>
      <c r="D91">
        <f>VLOOKUP(A91,Sheet1!$N$4:$O$136,2,FALSE)</f>
        <v>369052</v>
      </c>
      <c r="E91">
        <f>VLOOKUP(B91,Sheet1!$N$4:$O$136,2,FALSE)</f>
        <v>551402</v>
      </c>
      <c r="F91" t="s">
        <v>84</v>
      </c>
      <c r="G91" t="s">
        <v>108</v>
      </c>
      <c r="I91" t="str">
        <f t="shared" si="1"/>
        <v>1725337588, 1734624654,[Per Suspense SOP]</v>
      </c>
      <c r="P91" t="s">
        <v>188</v>
      </c>
    </row>
    <row r="92" spans="1:16" x14ac:dyDescent="0.25">
      <c r="A92">
        <v>1725337588</v>
      </c>
      <c r="B92">
        <v>1734624677</v>
      </c>
      <c r="C92" s="6">
        <v>8333.33</v>
      </c>
      <c r="D92">
        <f>VLOOKUP(A92,Sheet1!$N$4:$O$136,2,FALSE)</f>
        <v>369052</v>
      </c>
      <c r="E92">
        <f>VLOOKUP(B92,Sheet1!$N$4:$O$136,2,FALSE)</f>
        <v>551402</v>
      </c>
      <c r="F92" t="s">
        <v>85</v>
      </c>
      <c r="G92" t="s">
        <v>108</v>
      </c>
      <c r="I92" t="str">
        <f t="shared" si="1"/>
        <v>1725337588, 1734624677,[Per Suspense SOP]</v>
      </c>
      <c r="P92" t="s">
        <v>189</v>
      </c>
    </row>
    <row r="93" spans="1:16" x14ac:dyDescent="0.25">
      <c r="A93">
        <v>1725337588</v>
      </c>
      <c r="B93">
        <v>1734624663</v>
      </c>
      <c r="C93" s="6">
        <v>8333.33</v>
      </c>
      <c r="D93">
        <f>VLOOKUP(A93,Sheet1!$N$4:$O$136,2,FALSE)</f>
        <v>369052</v>
      </c>
      <c r="E93">
        <f>VLOOKUP(B93,Sheet1!$N$4:$O$136,2,FALSE)</f>
        <v>551402</v>
      </c>
      <c r="F93" t="s">
        <v>86</v>
      </c>
      <c r="G93" t="s">
        <v>108</v>
      </c>
      <c r="I93" t="str">
        <f t="shared" si="1"/>
        <v>1725337588, 1734624663,[Per Suspense SOP]</v>
      </c>
      <c r="P93" t="s">
        <v>190</v>
      </c>
    </row>
    <row r="94" spans="1:16" x14ac:dyDescent="0.25">
      <c r="A94">
        <v>1725337588</v>
      </c>
      <c r="B94">
        <v>1734624660</v>
      </c>
      <c r="C94" s="6">
        <v>8333.33</v>
      </c>
      <c r="D94">
        <f>VLOOKUP(A94,Sheet1!$N$4:$O$136,2,FALSE)</f>
        <v>369052</v>
      </c>
      <c r="E94">
        <f>VLOOKUP(B94,Sheet1!$N$4:$O$136,2,FALSE)</f>
        <v>551402</v>
      </c>
      <c r="F94" t="s">
        <v>87</v>
      </c>
      <c r="G94" t="s">
        <v>108</v>
      </c>
      <c r="I94" t="str">
        <f t="shared" si="1"/>
        <v>1725337588, 1734624660,[Per Suspense SOP]</v>
      </c>
      <c r="P94" t="s">
        <v>191</v>
      </c>
    </row>
    <row r="95" spans="1:16" x14ac:dyDescent="0.25">
      <c r="A95">
        <v>1725337588</v>
      </c>
      <c r="B95">
        <v>1734624667</v>
      </c>
      <c r="C95" s="6">
        <v>8333.33</v>
      </c>
      <c r="D95">
        <f>VLOOKUP(A95,Sheet1!$N$4:$O$136,2,FALSE)</f>
        <v>369052</v>
      </c>
      <c r="E95">
        <f>VLOOKUP(B95,Sheet1!$N$4:$O$136,2,FALSE)</f>
        <v>551402</v>
      </c>
      <c r="F95" t="s">
        <v>88</v>
      </c>
      <c r="G95" t="s">
        <v>108</v>
      </c>
      <c r="I95" t="str">
        <f t="shared" si="1"/>
        <v>1725337588, 1734624667,[Per Suspense SOP]</v>
      </c>
      <c r="P95" t="s">
        <v>192</v>
      </c>
    </row>
    <row r="96" spans="1:16" x14ac:dyDescent="0.25">
      <c r="A96">
        <v>1725337590</v>
      </c>
      <c r="B96">
        <v>1734624672</v>
      </c>
      <c r="C96" s="6">
        <v>8333.33</v>
      </c>
      <c r="D96">
        <f>VLOOKUP(A96,Sheet1!$N$4:$O$136,2,FALSE)</f>
        <v>369052</v>
      </c>
      <c r="E96">
        <f>VLOOKUP(B96,Sheet1!$N$4:$O$136,2,FALSE)</f>
        <v>551402</v>
      </c>
      <c r="F96" t="s">
        <v>73</v>
      </c>
      <c r="G96" t="s">
        <v>108</v>
      </c>
      <c r="I96" t="str">
        <f t="shared" si="1"/>
        <v>1725337590, 1734624672,[Per Suspense SOP]</v>
      </c>
      <c r="P96" t="s">
        <v>177</v>
      </c>
    </row>
    <row r="97" spans="1:16" x14ac:dyDescent="0.25">
      <c r="A97">
        <v>1725337590</v>
      </c>
      <c r="B97">
        <v>1734624657</v>
      </c>
      <c r="C97" s="6">
        <v>8333.33</v>
      </c>
      <c r="D97">
        <f>VLOOKUP(A97,Sheet1!$N$4:$O$136,2,FALSE)</f>
        <v>369052</v>
      </c>
      <c r="E97">
        <f>VLOOKUP(B97,Sheet1!$N$4:$O$136,2,FALSE)</f>
        <v>551402</v>
      </c>
      <c r="F97" t="s">
        <v>74</v>
      </c>
      <c r="G97" t="s">
        <v>108</v>
      </c>
      <c r="I97" t="str">
        <f t="shared" si="1"/>
        <v>1725337590, 1734624657,[Per Suspense SOP]</v>
      </c>
      <c r="P97" t="s">
        <v>178</v>
      </c>
    </row>
    <row r="98" spans="1:16" x14ac:dyDescent="0.25">
      <c r="A98">
        <v>1725337590</v>
      </c>
      <c r="B98">
        <v>1734624670</v>
      </c>
      <c r="C98" s="6">
        <v>8333.33</v>
      </c>
      <c r="D98">
        <f>VLOOKUP(A98,Sheet1!$N$4:$O$136,2,FALSE)</f>
        <v>369052</v>
      </c>
      <c r="E98">
        <f>VLOOKUP(B98,Sheet1!$N$4:$O$136,2,FALSE)</f>
        <v>551402</v>
      </c>
      <c r="F98" t="s">
        <v>75</v>
      </c>
      <c r="G98" t="s">
        <v>108</v>
      </c>
      <c r="I98" t="str">
        <f t="shared" si="1"/>
        <v>1725337590, 1734624670,[Per Suspense SOP]</v>
      </c>
      <c r="P98" t="s">
        <v>179</v>
      </c>
    </row>
    <row r="99" spans="1:16" x14ac:dyDescent="0.25">
      <c r="A99">
        <v>1725337590</v>
      </c>
      <c r="B99">
        <v>1734624654</v>
      </c>
      <c r="C99" s="6">
        <v>8333.33</v>
      </c>
      <c r="D99">
        <f>VLOOKUP(A99,Sheet1!$N$4:$O$136,2,FALSE)</f>
        <v>369052</v>
      </c>
      <c r="E99">
        <f>VLOOKUP(B99,Sheet1!$N$4:$O$136,2,FALSE)</f>
        <v>551402</v>
      </c>
      <c r="F99" t="s">
        <v>76</v>
      </c>
      <c r="G99" t="s">
        <v>108</v>
      </c>
      <c r="I99" t="str">
        <f t="shared" si="1"/>
        <v>1725337590, 1734624654,[Per Suspense SOP]</v>
      </c>
      <c r="P99" t="s">
        <v>180</v>
      </c>
    </row>
    <row r="100" spans="1:16" x14ac:dyDescent="0.25">
      <c r="A100">
        <v>1725337590</v>
      </c>
      <c r="B100">
        <v>1734624677</v>
      </c>
      <c r="C100" s="6">
        <v>8333.33</v>
      </c>
      <c r="D100">
        <f>VLOOKUP(A100,Sheet1!$N$4:$O$136,2,FALSE)</f>
        <v>369052</v>
      </c>
      <c r="E100">
        <f>VLOOKUP(B100,Sheet1!$N$4:$O$136,2,FALSE)</f>
        <v>551402</v>
      </c>
      <c r="F100" t="s">
        <v>77</v>
      </c>
      <c r="G100" t="s">
        <v>108</v>
      </c>
      <c r="I100" t="str">
        <f t="shared" si="1"/>
        <v>1725337590, 1734624677,[Per Suspense SOP]</v>
      </c>
      <c r="P100" t="s">
        <v>181</v>
      </c>
    </row>
    <row r="101" spans="1:16" x14ac:dyDescent="0.25">
      <c r="A101">
        <v>1725337590</v>
      </c>
      <c r="B101">
        <v>1734624663</v>
      </c>
      <c r="C101" s="6">
        <v>8333.33</v>
      </c>
      <c r="D101">
        <f>VLOOKUP(A101,Sheet1!$N$4:$O$136,2,FALSE)</f>
        <v>369052</v>
      </c>
      <c r="E101">
        <f>VLOOKUP(B101,Sheet1!$N$4:$O$136,2,FALSE)</f>
        <v>551402</v>
      </c>
      <c r="F101" t="s">
        <v>78</v>
      </c>
      <c r="G101" t="s">
        <v>108</v>
      </c>
      <c r="I101" t="str">
        <f t="shared" si="1"/>
        <v>1725337590, 1734624663,[Per Suspense SOP]</v>
      </c>
      <c r="P101" t="s">
        <v>182</v>
      </c>
    </row>
    <row r="102" spans="1:16" x14ac:dyDescent="0.25">
      <c r="A102">
        <v>1725337590</v>
      </c>
      <c r="B102">
        <v>1734624660</v>
      </c>
      <c r="C102" s="6">
        <v>8333.33</v>
      </c>
      <c r="D102">
        <f>VLOOKUP(A102,Sheet1!$N$4:$O$136,2,FALSE)</f>
        <v>369052</v>
      </c>
      <c r="E102">
        <f>VLOOKUP(B102,Sheet1!$N$4:$O$136,2,FALSE)</f>
        <v>551402</v>
      </c>
      <c r="F102" t="s">
        <v>79</v>
      </c>
      <c r="G102" t="s">
        <v>108</v>
      </c>
      <c r="I102" t="str">
        <f t="shared" si="1"/>
        <v>1725337590, 1734624660,[Per Suspense SOP]</v>
      </c>
      <c r="P102" t="s">
        <v>183</v>
      </c>
    </row>
    <row r="103" spans="1:16" x14ac:dyDescent="0.25">
      <c r="A103">
        <v>1725337590</v>
      </c>
      <c r="B103">
        <v>1734624667</v>
      </c>
      <c r="C103" s="6">
        <v>8333.33</v>
      </c>
      <c r="D103">
        <f>VLOOKUP(A103,Sheet1!$N$4:$O$136,2,FALSE)</f>
        <v>369052</v>
      </c>
      <c r="E103">
        <f>VLOOKUP(B103,Sheet1!$N$4:$O$136,2,FALSE)</f>
        <v>551402</v>
      </c>
      <c r="F103" t="s">
        <v>80</v>
      </c>
      <c r="G103" t="s">
        <v>108</v>
      </c>
      <c r="I103" t="str">
        <f t="shared" si="1"/>
        <v>1725337590, 1734624667,[Per Suspense SOP]</v>
      </c>
      <c r="P103" t="s">
        <v>184</v>
      </c>
    </row>
    <row r="104" spans="1:16" x14ac:dyDescent="0.25">
      <c r="A104">
        <v>1725337588</v>
      </c>
      <c r="B104">
        <v>1734624672</v>
      </c>
      <c r="C104" s="6">
        <v>8333.33</v>
      </c>
      <c r="D104">
        <f>VLOOKUP(A104,Sheet1!$N$4:$O$136,2,FALSE)</f>
        <v>369052</v>
      </c>
      <c r="E104">
        <f>VLOOKUP(B104,Sheet1!$N$4:$O$136,2,FALSE)</f>
        <v>551402</v>
      </c>
      <c r="F104" t="s">
        <v>81</v>
      </c>
      <c r="G104" t="s">
        <v>108</v>
      </c>
      <c r="I104" t="str">
        <f t="shared" si="1"/>
        <v>1725337588, 1734624672,[Per Suspense SOP]</v>
      </c>
      <c r="P104" t="s">
        <v>185</v>
      </c>
    </row>
    <row r="105" spans="1:16" x14ac:dyDescent="0.25">
      <c r="A105">
        <v>1725337588</v>
      </c>
      <c r="B105">
        <v>1734624657</v>
      </c>
      <c r="C105" s="6">
        <v>8333.33</v>
      </c>
      <c r="D105">
        <f>VLOOKUP(A105,Sheet1!$N$4:$O$136,2,FALSE)</f>
        <v>369052</v>
      </c>
      <c r="E105">
        <f>VLOOKUP(B105,Sheet1!$N$4:$O$136,2,FALSE)</f>
        <v>551402</v>
      </c>
      <c r="F105" t="s">
        <v>82</v>
      </c>
      <c r="G105" t="s">
        <v>108</v>
      </c>
      <c r="I105" t="str">
        <f t="shared" si="1"/>
        <v>1725337588, 1734624657,[Per Suspense SOP]</v>
      </c>
      <c r="P105" t="s">
        <v>186</v>
      </c>
    </row>
    <row r="106" spans="1:16" x14ac:dyDescent="0.25">
      <c r="A106">
        <v>1725337588</v>
      </c>
      <c r="B106">
        <v>1734624670</v>
      </c>
      <c r="C106" s="6">
        <v>8333.33</v>
      </c>
      <c r="D106">
        <f>VLOOKUP(A106,Sheet1!$N$4:$O$136,2,FALSE)</f>
        <v>369052</v>
      </c>
      <c r="E106">
        <f>VLOOKUP(B106,Sheet1!$N$4:$O$136,2,FALSE)</f>
        <v>551402</v>
      </c>
      <c r="F106" t="s">
        <v>83</v>
      </c>
      <c r="G106" t="s">
        <v>108</v>
      </c>
      <c r="I106" t="str">
        <f t="shared" si="1"/>
        <v>1725337588, 1734624670,[Per Suspense SOP]</v>
      </c>
      <c r="P106" t="s">
        <v>187</v>
      </c>
    </row>
    <row r="107" spans="1:16" x14ac:dyDescent="0.25">
      <c r="A107">
        <v>1725337588</v>
      </c>
      <c r="B107">
        <v>1734624654</v>
      </c>
      <c r="C107" s="6">
        <v>8333.33</v>
      </c>
      <c r="D107">
        <f>VLOOKUP(A107,Sheet1!$N$4:$O$136,2,FALSE)</f>
        <v>369052</v>
      </c>
      <c r="E107">
        <f>VLOOKUP(B107,Sheet1!$N$4:$O$136,2,FALSE)</f>
        <v>551402</v>
      </c>
      <c r="F107" t="s">
        <v>84</v>
      </c>
      <c r="G107" t="s">
        <v>108</v>
      </c>
      <c r="I107" t="str">
        <f t="shared" si="1"/>
        <v>1725337588, 1734624654,[Per Suspense SOP]</v>
      </c>
      <c r="P107" t="s">
        <v>188</v>
      </c>
    </row>
    <row r="108" spans="1:16" x14ac:dyDescent="0.25">
      <c r="A108">
        <v>1725337588</v>
      </c>
      <c r="B108">
        <v>1734624677</v>
      </c>
      <c r="C108" s="6">
        <v>8333.33</v>
      </c>
      <c r="D108">
        <f>VLOOKUP(A108,Sheet1!$N$4:$O$136,2,FALSE)</f>
        <v>369052</v>
      </c>
      <c r="E108">
        <f>VLOOKUP(B108,Sheet1!$N$4:$O$136,2,FALSE)</f>
        <v>551402</v>
      </c>
      <c r="F108" t="s">
        <v>85</v>
      </c>
      <c r="G108" t="s">
        <v>108</v>
      </c>
      <c r="I108" t="str">
        <f t="shared" si="1"/>
        <v>1725337588, 1734624677,[Per Suspense SOP]</v>
      </c>
      <c r="P108" t="s">
        <v>189</v>
      </c>
    </row>
    <row r="109" spans="1:16" x14ac:dyDescent="0.25">
      <c r="A109">
        <v>1725337588</v>
      </c>
      <c r="B109">
        <v>1734624663</v>
      </c>
      <c r="C109" s="6">
        <v>8333.33</v>
      </c>
      <c r="D109">
        <f>VLOOKUP(A109,Sheet1!$N$4:$O$136,2,FALSE)</f>
        <v>369052</v>
      </c>
      <c r="E109">
        <f>VLOOKUP(B109,Sheet1!$N$4:$O$136,2,FALSE)</f>
        <v>551402</v>
      </c>
      <c r="F109" t="s">
        <v>86</v>
      </c>
      <c r="G109" t="s">
        <v>108</v>
      </c>
      <c r="I109" t="str">
        <f t="shared" si="1"/>
        <v>1725337588, 1734624663,[Per Suspense SOP]</v>
      </c>
      <c r="P109" t="s">
        <v>190</v>
      </c>
    </row>
    <row r="110" spans="1:16" x14ac:dyDescent="0.25">
      <c r="A110">
        <v>1725337588</v>
      </c>
      <c r="B110">
        <v>1734624660</v>
      </c>
      <c r="C110" s="6">
        <v>8333.33</v>
      </c>
      <c r="D110">
        <f>VLOOKUP(A110,Sheet1!$N$4:$O$136,2,FALSE)</f>
        <v>369052</v>
      </c>
      <c r="E110">
        <f>VLOOKUP(B110,Sheet1!$N$4:$O$136,2,FALSE)</f>
        <v>551402</v>
      </c>
      <c r="F110" t="s">
        <v>87</v>
      </c>
      <c r="G110" t="s">
        <v>108</v>
      </c>
      <c r="I110" t="str">
        <f t="shared" si="1"/>
        <v>1725337588, 1734624660,[Per Suspense SOP]</v>
      </c>
      <c r="P110" t="s">
        <v>191</v>
      </c>
    </row>
    <row r="111" spans="1:16" x14ac:dyDescent="0.25">
      <c r="A111">
        <v>1725337588</v>
      </c>
      <c r="B111">
        <v>1734624667</v>
      </c>
      <c r="C111" s="6">
        <v>8333.33</v>
      </c>
      <c r="D111">
        <f>VLOOKUP(A111,Sheet1!$N$4:$O$136,2,FALSE)</f>
        <v>369052</v>
      </c>
      <c r="E111">
        <f>VLOOKUP(B111,Sheet1!$N$4:$O$136,2,FALSE)</f>
        <v>551402</v>
      </c>
      <c r="F111" t="s">
        <v>88</v>
      </c>
      <c r="G111" t="s">
        <v>108</v>
      </c>
      <c r="I111" t="str">
        <f t="shared" si="1"/>
        <v>1725337588, 1734624667,[Per Suspense SOP]</v>
      </c>
      <c r="P111" t="s">
        <v>192</v>
      </c>
    </row>
    <row r="112" spans="1:16" x14ac:dyDescent="0.25">
      <c r="A112">
        <v>1725337590</v>
      </c>
      <c r="B112">
        <v>1734624672</v>
      </c>
      <c r="C112" s="6">
        <v>8333.33</v>
      </c>
      <c r="D112">
        <f>VLOOKUP(A112,Sheet1!$N$4:$O$136,2,FALSE)</f>
        <v>369052</v>
      </c>
      <c r="E112">
        <f>VLOOKUP(B112,Sheet1!$N$4:$O$136,2,FALSE)</f>
        <v>551402</v>
      </c>
      <c r="F112" t="s">
        <v>73</v>
      </c>
      <c r="G112" t="s">
        <v>108</v>
      </c>
      <c r="I112" t="str">
        <f t="shared" si="1"/>
        <v>1725337590, 1734624672,[Per Suspense SOP]</v>
      </c>
      <c r="P112" t="s">
        <v>177</v>
      </c>
    </row>
    <row r="113" spans="1:16" x14ac:dyDescent="0.25">
      <c r="A113">
        <v>1725337590</v>
      </c>
      <c r="B113">
        <v>1734624657</v>
      </c>
      <c r="C113" s="6">
        <v>8333.33</v>
      </c>
      <c r="D113">
        <f>VLOOKUP(A113,Sheet1!$N$4:$O$136,2,FALSE)</f>
        <v>369052</v>
      </c>
      <c r="E113">
        <f>VLOOKUP(B113,Sheet1!$N$4:$O$136,2,FALSE)</f>
        <v>551402</v>
      </c>
      <c r="F113" t="s">
        <v>74</v>
      </c>
      <c r="G113" t="s">
        <v>108</v>
      </c>
      <c r="I113" t="str">
        <f t="shared" si="1"/>
        <v>1725337590, 1734624657,[Per Suspense SOP]</v>
      </c>
      <c r="P113" t="s">
        <v>178</v>
      </c>
    </row>
    <row r="114" spans="1:16" x14ac:dyDescent="0.25">
      <c r="A114">
        <v>1725337590</v>
      </c>
      <c r="B114">
        <v>1734624670</v>
      </c>
      <c r="C114" s="6">
        <v>8333.33</v>
      </c>
      <c r="D114">
        <f>VLOOKUP(A114,Sheet1!$N$4:$O$136,2,FALSE)</f>
        <v>369052</v>
      </c>
      <c r="E114">
        <f>VLOOKUP(B114,Sheet1!$N$4:$O$136,2,FALSE)</f>
        <v>551402</v>
      </c>
      <c r="F114" t="s">
        <v>75</v>
      </c>
      <c r="G114" t="s">
        <v>108</v>
      </c>
      <c r="I114" t="str">
        <f t="shared" si="1"/>
        <v>1725337590, 1734624670,[Per Suspense SOP]</v>
      </c>
      <c r="P114" t="s">
        <v>179</v>
      </c>
    </row>
    <row r="115" spans="1:16" x14ac:dyDescent="0.25">
      <c r="A115">
        <v>1725337590</v>
      </c>
      <c r="B115">
        <v>1734624654</v>
      </c>
      <c r="C115" s="6">
        <v>8333.33</v>
      </c>
      <c r="D115">
        <f>VLOOKUP(A115,Sheet1!$N$4:$O$136,2,FALSE)</f>
        <v>369052</v>
      </c>
      <c r="E115">
        <f>VLOOKUP(B115,Sheet1!$N$4:$O$136,2,FALSE)</f>
        <v>551402</v>
      </c>
      <c r="F115" t="s">
        <v>76</v>
      </c>
      <c r="G115" t="s">
        <v>108</v>
      </c>
      <c r="I115" t="str">
        <f t="shared" si="1"/>
        <v>1725337590, 1734624654,[Per Suspense SOP]</v>
      </c>
      <c r="P115" t="s">
        <v>180</v>
      </c>
    </row>
    <row r="116" spans="1:16" x14ac:dyDescent="0.25">
      <c r="A116">
        <v>1725337590</v>
      </c>
      <c r="B116">
        <v>1734624677</v>
      </c>
      <c r="C116" s="6">
        <v>8333.33</v>
      </c>
      <c r="D116">
        <f>VLOOKUP(A116,Sheet1!$N$4:$O$136,2,FALSE)</f>
        <v>369052</v>
      </c>
      <c r="E116">
        <f>VLOOKUP(B116,Sheet1!$N$4:$O$136,2,FALSE)</f>
        <v>551402</v>
      </c>
      <c r="F116" t="s">
        <v>77</v>
      </c>
      <c r="G116" t="s">
        <v>108</v>
      </c>
      <c r="I116" t="str">
        <f t="shared" si="1"/>
        <v>1725337590, 1734624677,[Per Suspense SOP]</v>
      </c>
      <c r="P116" t="s">
        <v>181</v>
      </c>
    </row>
    <row r="117" spans="1:16" x14ac:dyDescent="0.25">
      <c r="A117">
        <v>1725337590</v>
      </c>
      <c r="B117">
        <v>1734624663</v>
      </c>
      <c r="C117" s="6">
        <v>8333.33</v>
      </c>
      <c r="D117">
        <f>VLOOKUP(A117,Sheet1!$N$4:$O$136,2,FALSE)</f>
        <v>369052</v>
      </c>
      <c r="E117">
        <f>VLOOKUP(B117,Sheet1!$N$4:$O$136,2,FALSE)</f>
        <v>551402</v>
      </c>
      <c r="F117" t="s">
        <v>78</v>
      </c>
      <c r="G117" t="s">
        <v>108</v>
      </c>
      <c r="I117" t="str">
        <f t="shared" si="1"/>
        <v>1725337590, 1734624663,[Per Suspense SOP]</v>
      </c>
      <c r="P117" t="s">
        <v>182</v>
      </c>
    </row>
    <row r="118" spans="1:16" x14ac:dyDescent="0.25">
      <c r="A118">
        <v>1725337590</v>
      </c>
      <c r="B118">
        <v>1734624660</v>
      </c>
      <c r="C118" s="6">
        <v>8333.33</v>
      </c>
      <c r="D118">
        <f>VLOOKUP(A118,Sheet1!$N$4:$O$136,2,FALSE)</f>
        <v>369052</v>
      </c>
      <c r="E118">
        <f>VLOOKUP(B118,Sheet1!$N$4:$O$136,2,FALSE)</f>
        <v>551402</v>
      </c>
      <c r="F118" t="s">
        <v>79</v>
      </c>
      <c r="G118" t="s">
        <v>108</v>
      </c>
      <c r="I118" t="str">
        <f t="shared" si="1"/>
        <v>1725337590, 1734624660,[Per Suspense SOP]</v>
      </c>
      <c r="P118" t="s">
        <v>183</v>
      </c>
    </row>
    <row r="119" spans="1:16" x14ac:dyDescent="0.25">
      <c r="A119">
        <v>1725337590</v>
      </c>
      <c r="B119">
        <v>1734624667</v>
      </c>
      <c r="C119" s="6">
        <v>8333.33</v>
      </c>
      <c r="D119">
        <f>VLOOKUP(A119,Sheet1!$N$4:$O$136,2,FALSE)</f>
        <v>369052</v>
      </c>
      <c r="E119">
        <f>VLOOKUP(B119,Sheet1!$N$4:$O$136,2,FALSE)</f>
        <v>551402</v>
      </c>
      <c r="F119" t="s">
        <v>80</v>
      </c>
      <c r="G119" t="s">
        <v>108</v>
      </c>
      <c r="I119" t="str">
        <f t="shared" si="1"/>
        <v>1725337590, 1734624667,[Per Suspense SOP]</v>
      </c>
      <c r="P119" t="s">
        <v>184</v>
      </c>
    </row>
    <row r="120" spans="1:16" x14ac:dyDescent="0.25">
      <c r="A120">
        <v>1725337588</v>
      </c>
      <c r="B120">
        <v>1734624672</v>
      </c>
      <c r="C120" s="6">
        <v>8333.33</v>
      </c>
      <c r="D120">
        <f>VLOOKUP(A120,Sheet1!$N$4:$O$136,2,FALSE)</f>
        <v>369052</v>
      </c>
      <c r="E120">
        <f>VLOOKUP(B120,Sheet1!$N$4:$O$136,2,FALSE)</f>
        <v>551402</v>
      </c>
      <c r="F120" t="s">
        <v>81</v>
      </c>
      <c r="G120" t="s">
        <v>108</v>
      </c>
      <c r="I120" t="str">
        <f t="shared" si="1"/>
        <v>1725337588, 1734624672,[Per Suspense SOP]</v>
      </c>
      <c r="P120" t="s">
        <v>185</v>
      </c>
    </row>
    <row r="121" spans="1:16" x14ac:dyDescent="0.25">
      <c r="A121">
        <v>1725337588</v>
      </c>
      <c r="B121">
        <v>1734624657</v>
      </c>
      <c r="C121" s="6">
        <v>8333.33</v>
      </c>
      <c r="D121">
        <f>VLOOKUP(A121,Sheet1!$N$4:$O$136,2,FALSE)</f>
        <v>369052</v>
      </c>
      <c r="E121">
        <f>VLOOKUP(B121,Sheet1!$N$4:$O$136,2,FALSE)</f>
        <v>551402</v>
      </c>
      <c r="F121" t="s">
        <v>82</v>
      </c>
      <c r="G121" t="s">
        <v>108</v>
      </c>
      <c r="I121" t="str">
        <f t="shared" si="1"/>
        <v>1725337588, 1734624657,[Per Suspense SOP]</v>
      </c>
      <c r="P121" t="s">
        <v>186</v>
      </c>
    </row>
    <row r="122" spans="1:16" x14ac:dyDescent="0.25">
      <c r="A122">
        <v>1725337588</v>
      </c>
      <c r="B122">
        <v>1734624670</v>
      </c>
      <c r="C122" s="6">
        <v>8333.33</v>
      </c>
      <c r="D122">
        <f>VLOOKUP(A122,Sheet1!$N$4:$O$136,2,FALSE)</f>
        <v>369052</v>
      </c>
      <c r="E122">
        <f>VLOOKUP(B122,Sheet1!$N$4:$O$136,2,FALSE)</f>
        <v>551402</v>
      </c>
      <c r="F122" t="s">
        <v>83</v>
      </c>
      <c r="G122" t="s">
        <v>108</v>
      </c>
      <c r="I122" t="str">
        <f t="shared" si="1"/>
        <v>1725337588, 1734624670,[Per Suspense SOP]</v>
      </c>
      <c r="P122" t="s">
        <v>187</v>
      </c>
    </row>
    <row r="123" spans="1:16" x14ac:dyDescent="0.25">
      <c r="A123">
        <v>1725337588</v>
      </c>
      <c r="B123">
        <v>1734624654</v>
      </c>
      <c r="C123" s="6">
        <v>8333.33</v>
      </c>
      <c r="D123">
        <f>VLOOKUP(A123,Sheet1!$N$4:$O$136,2,FALSE)</f>
        <v>369052</v>
      </c>
      <c r="E123">
        <f>VLOOKUP(B123,Sheet1!$N$4:$O$136,2,FALSE)</f>
        <v>551402</v>
      </c>
      <c r="F123" t="s">
        <v>84</v>
      </c>
      <c r="G123" t="s">
        <v>108</v>
      </c>
      <c r="I123" t="str">
        <f t="shared" si="1"/>
        <v>1725337588, 1734624654,[Per Suspense SOP]</v>
      </c>
      <c r="P123" t="s">
        <v>188</v>
      </c>
    </row>
    <row r="124" spans="1:16" x14ac:dyDescent="0.25">
      <c r="A124">
        <v>1725337588</v>
      </c>
      <c r="B124">
        <v>1734624677</v>
      </c>
      <c r="C124" s="6">
        <v>8333.33</v>
      </c>
      <c r="D124">
        <f>VLOOKUP(A124,Sheet1!$N$4:$O$136,2,FALSE)</f>
        <v>369052</v>
      </c>
      <c r="E124">
        <f>VLOOKUP(B124,Sheet1!$N$4:$O$136,2,FALSE)</f>
        <v>551402</v>
      </c>
      <c r="F124" t="s">
        <v>85</v>
      </c>
      <c r="G124" t="s">
        <v>108</v>
      </c>
      <c r="I124" t="str">
        <f t="shared" si="1"/>
        <v>1725337588, 1734624677,[Per Suspense SOP]</v>
      </c>
      <c r="P124" t="s">
        <v>189</v>
      </c>
    </row>
    <row r="125" spans="1:16" x14ac:dyDescent="0.25">
      <c r="A125">
        <v>1725337588</v>
      </c>
      <c r="B125">
        <v>1734624663</v>
      </c>
      <c r="C125" s="6">
        <v>8333.33</v>
      </c>
      <c r="D125">
        <f>VLOOKUP(A125,Sheet1!$N$4:$O$136,2,FALSE)</f>
        <v>369052</v>
      </c>
      <c r="E125">
        <f>VLOOKUP(B125,Sheet1!$N$4:$O$136,2,FALSE)</f>
        <v>551402</v>
      </c>
      <c r="F125" t="s">
        <v>86</v>
      </c>
      <c r="G125" t="s">
        <v>108</v>
      </c>
      <c r="I125" t="str">
        <f t="shared" si="1"/>
        <v>1725337588, 1734624663,[Per Suspense SOP]</v>
      </c>
      <c r="P125" t="s">
        <v>190</v>
      </c>
    </row>
    <row r="126" spans="1:16" x14ac:dyDescent="0.25">
      <c r="A126">
        <v>1725337588</v>
      </c>
      <c r="B126">
        <v>1734624660</v>
      </c>
      <c r="C126" s="6">
        <v>8333.33</v>
      </c>
      <c r="D126">
        <f>VLOOKUP(A126,Sheet1!$N$4:$O$136,2,FALSE)</f>
        <v>369052</v>
      </c>
      <c r="E126">
        <f>VLOOKUP(B126,Sheet1!$N$4:$O$136,2,FALSE)</f>
        <v>551402</v>
      </c>
      <c r="F126" t="s">
        <v>87</v>
      </c>
      <c r="G126" t="s">
        <v>108</v>
      </c>
      <c r="I126" t="str">
        <f t="shared" si="1"/>
        <v>1725337588, 1734624660,[Per Suspense SOP]</v>
      </c>
      <c r="P126" t="s">
        <v>191</v>
      </c>
    </row>
    <row r="127" spans="1:16" x14ac:dyDescent="0.25">
      <c r="A127">
        <v>1725337588</v>
      </c>
      <c r="B127">
        <v>1734624667</v>
      </c>
      <c r="C127" s="6">
        <v>8333.33</v>
      </c>
      <c r="D127">
        <f>VLOOKUP(A127,Sheet1!$N$4:$O$136,2,FALSE)</f>
        <v>369052</v>
      </c>
      <c r="E127">
        <f>VLOOKUP(B127,Sheet1!$N$4:$O$136,2,FALSE)</f>
        <v>551402</v>
      </c>
      <c r="F127" t="s">
        <v>88</v>
      </c>
      <c r="G127" t="s">
        <v>108</v>
      </c>
      <c r="I127" t="str">
        <f t="shared" si="1"/>
        <v>1725337588, 1734624667,[Per Suspense SOP]</v>
      </c>
      <c r="P127" t="s">
        <v>192</v>
      </c>
    </row>
    <row r="128" spans="1:16" x14ac:dyDescent="0.25">
      <c r="A128">
        <v>1725337590</v>
      </c>
      <c r="B128">
        <v>1734624672</v>
      </c>
      <c r="C128" s="6">
        <v>8333.33</v>
      </c>
      <c r="D128">
        <f>VLOOKUP(A128,Sheet1!$N$4:$O$136,2,FALSE)</f>
        <v>369052</v>
      </c>
      <c r="E128">
        <f>VLOOKUP(B128,Sheet1!$N$4:$O$136,2,FALSE)</f>
        <v>551402</v>
      </c>
      <c r="F128" t="s">
        <v>73</v>
      </c>
      <c r="G128" t="s">
        <v>108</v>
      </c>
      <c r="I128" t="str">
        <f t="shared" si="1"/>
        <v>1725337590, 1734624672,[Per Suspense SOP]</v>
      </c>
      <c r="P128" t="s">
        <v>177</v>
      </c>
    </row>
    <row r="129" spans="1:16" x14ac:dyDescent="0.25">
      <c r="A129">
        <v>1725337590</v>
      </c>
      <c r="B129">
        <v>1734624657</v>
      </c>
      <c r="C129" s="6">
        <v>8333.33</v>
      </c>
      <c r="D129">
        <f>VLOOKUP(A129,Sheet1!$N$4:$O$136,2,FALSE)</f>
        <v>369052</v>
      </c>
      <c r="E129">
        <f>VLOOKUP(B129,Sheet1!$N$4:$O$136,2,FALSE)</f>
        <v>551402</v>
      </c>
      <c r="F129" t="s">
        <v>74</v>
      </c>
      <c r="G129" t="s">
        <v>108</v>
      </c>
      <c r="I129" t="str">
        <f t="shared" si="1"/>
        <v>1725337590, 1734624657,[Per Suspense SOP]</v>
      </c>
      <c r="P129" t="s">
        <v>178</v>
      </c>
    </row>
    <row r="130" spans="1:16" x14ac:dyDescent="0.25">
      <c r="A130">
        <v>1725337590</v>
      </c>
      <c r="B130">
        <v>1734624670</v>
      </c>
      <c r="C130" s="6">
        <v>8333.33</v>
      </c>
      <c r="D130">
        <f>VLOOKUP(A130,Sheet1!$N$4:$O$136,2,FALSE)</f>
        <v>369052</v>
      </c>
      <c r="E130">
        <f>VLOOKUP(B130,Sheet1!$N$4:$O$136,2,FALSE)</f>
        <v>551402</v>
      </c>
      <c r="F130" t="s">
        <v>75</v>
      </c>
      <c r="G130" t="s">
        <v>108</v>
      </c>
      <c r="I130" t="str">
        <f t="shared" si="1"/>
        <v>1725337590, 1734624670,[Per Suspense SOP]</v>
      </c>
      <c r="P130" t="s">
        <v>179</v>
      </c>
    </row>
    <row r="131" spans="1:16" x14ac:dyDescent="0.25">
      <c r="A131">
        <v>1725337590</v>
      </c>
      <c r="B131">
        <v>1734624654</v>
      </c>
      <c r="C131" s="6">
        <v>8333.33</v>
      </c>
      <c r="D131">
        <f>VLOOKUP(A131,Sheet1!$N$4:$O$136,2,FALSE)</f>
        <v>369052</v>
      </c>
      <c r="E131">
        <f>VLOOKUP(B131,Sheet1!$N$4:$O$136,2,FALSE)</f>
        <v>551402</v>
      </c>
      <c r="F131" t="s">
        <v>76</v>
      </c>
      <c r="G131" t="s">
        <v>108</v>
      </c>
      <c r="I131" t="str">
        <f t="shared" ref="I131:I146" si="2">F131&amp;","&amp;G131</f>
        <v>1725337590, 1734624654,[Per Suspense SOP]</v>
      </c>
      <c r="P131" t="s">
        <v>180</v>
      </c>
    </row>
    <row r="132" spans="1:16" x14ac:dyDescent="0.25">
      <c r="A132">
        <v>1725337590</v>
      </c>
      <c r="B132">
        <v>1734624677</v>
      </c>
      <c r="C132" s="6">
        <v>8333.33</v>
      </c>
      <c r="D132">
        <f>VLOOKUP(A132,Sheet1!$N$4:$O$136,2,FALSE)</f>
        <v>369052</v>
      </c>
      <c r="E132">
        <f>VLOOKUP(B132,Sheet1!$N$4:$O$136,2,FALSE)</f>
        <v>551402</v>
      </c>
      <c r="F132" t="s">
        <v>77</v>
      </c>
      <c r="G132" t="s">
        <v>108</v>
      </c>
      <c r="I132" t="str">
        <f t="shared" si="2"/>
        <v>1725337590, 1734624677,[Per Suspense SOP]</v>
      </c>
      <c r="P132" t="s">
        <v>181</v>
      </c>
    </row>
    <row r="133" spans="1:16" x14ac:dyDescent="0.25">
      <c r="A133">
        <v>1725337590</v>
      </c>
      <c r="B133">
        <v>1734624663</v>
      </c>
      <c r="C133" s="6">
        <v>8333.33</v>
      </c>
      <c r="D133">
        <f>VLOOKUP(A133,Sheet1!$N$4:$O$136,2,FALSE)</f>
        <v>369052</v>
      </c>
      <c r="E133">
        <f>VLOOKUP(B133,Sheet1!$N$4:$O$136,2,FALSE)</f>
        <v>551402</v>
      </c>
      <c r="F133" t="s">
        <v>78</v>
      </c>
      <c r="G133" t="s">
        <v>108</v>
      </c>
      <c r="I133" t="str">
        <f t="shared" si="2"/>
        <v>1725337590, 1734624663,[Per Suspense SOP]</v>
      </c>
      <c r="P133" t="s">
        <v>182</v>
      </c>
    </row>
    <row r="134" spans="1:16" x14ac:dyDescent="0.25">
      <c r="A134">
        <v>1725337590</v>
      </c>
      <c r="B134">
        <v>1734624660</v>
      </c>
      <c r="C134" s="6">
        <v>8333.33</v>
      </c>
      <c r="D134">
        <f>VLOOKUP(A134,Sheet1!$N$4:$O$136,2,FALSE)</f>
        <v>369052</v>
      </c>
      <c r="E134">
        <f>VLOOKUP(B134,Sheet1!$N$4:$O$136,2,FALSE)</f>
        <v>551402</v>
      </c>
      <c r="F134" t="s">
        <v>79</v>
      </c>
      <c r="G134" t="s">
        <v>108</v>
      </c>
      <c r="I134" t="str">
        <f t="shared" si="2"/>
        <v>1725337590, 1734624660,[Per Suspense SOP]</v>
      </c>
      <c r="P134" t="s">
        <v>183</v>
      </c>
    </row>
    <row r="135" spans="1:16" x14ac:dyDescent="0.25">
      <c r="A135">
        <v>1725337590</v>
      </c>
      <c r="B135">
        <v>1734624667</v>
      </c>
      <c r="C135" s="6">
        <v>8333.33</v>
      </c>
      <c r="D135">
        <f>VLOOKUP(A135,Sheet1!$N$4:$O$136,2,FALSE)</f>
        <v>369052</v>
      </c>
      <c r="E135">
        <f>VLOOKUP(B135,Sheet1!$N$4:$O$136,2,FALSE)</f>
        <v>551402</v>
      </c>
      <c r="F135" t="s">
        <v>80</v>
      </c>
      <c r="G135" t="s">
        <v>108</v>
      </c>
      <c r="I135" t="str">
        <f t="shared" si="2"/>
        <v>1725337590, 1734624667,[Per Suspense SOP]</v>
      </c>
      <c r="P135" t="s">
        <v>184</v>
      </c>
    </row>
    <row r="136" spans="1:16" x14ac:dyDescent="0.25">
      <c r="A136">
        <v>1725337588</v>
      </c>
      <c r="B136">
        <v>1734624672</v>
      </c>
      <c r="C136" s="6">
        <v>8333.33</v>
      </c>
      <c r="D136">
        <f>VLOOKUP(A136,Sheet1!$N$4:$O$136,2,FALSE)</f>
        <v>369052</v>
      </c>
      <c r="E136">
        <f>VLOOKUP(B136,Sheet1!$N$4:$O$136,2,FALSE)</f>
        <v>551402</v>
      </c>
      <c r="F136" t="s">
        <v>81</v>
      </c>
      <c r="G136" t="s">
        <v>108</v>
      </c>
      <c r="I136" t="str">
        <f t="shared" si="2"/>
        <v>1725337588, 1734624672,[Per Suspense SOP]</v>
      </c>
      <c r="P136" t="s">
        <v>185</v>
      </c>
    </row>
    <row r="137" spans="1:16" x14ac:dyDescent="0.25">
      <c r="A137">
        <v>1725337588</v>
      </c>
      <c r="B137">
        <v>1734624657</v>
      </c>
      <c r="C137" s="6">
        <v>8333.33</v>
      </c>
      <c r="D137">
        <f>VLOOKUP(A137,Sheet1!$N$4:$O$136,2,FALSE)</f>
        <v>369052</v>
      </c>
      <c r="E137">
        <f>VLOOKUP(B137,Sheet1!$N$4:$O$136,2,FALSE)</f>
        <v>551402</v>
      </c>
      <c r="F137" t="s">
        <v>82</v>
      </c>
      <c r="G137" t="s">
        <v>108</v>
      </c>
      <c r="I137" t="str">
        <f t="shared" si="2"/>
        <v>1725337588, 1734624657,[Per Suspense SOP]</v>
      </c>
      <c r="P137" t="s">
        <v>186</v>
      </c>
    </row>
    <row r="138" spans="1:16" x14ac:dyDescent="0.25">
      <c r="A138">
        <v>1725337588</v>
      </c>
      <c r="B138">
        <v>1734624670</v>
      </c>
      <c r="C138" s="6">
        <v>8333.33</v>
      </c>
      <c r="D138">
        <f>VLOOKUP(A138,Sheet1!$N$4:$O$136,2,FALSE)</f>
        <v>369052</v>
      </c>
      <c r="E138">
        <f>VLOOKUP(B138,Sheet1!$N$4:$O$136,2,FALSE)</f>
        <v>551402</v>
      </c>
      <c r="F138" t="s">
        <v>83</v>
      </c>
      <c r="G138" t="s">
        <v>108</v>
      </c>
      <c r="I138" t="str">
        <f t="shared" si="2"/>
        <v>1725337588, 1734624670,[Per Suspense SOP]</v>
      </c>
      <c r="P138" t="s">
        <v>187</v>
      </c>
    </row>
    <row r="139" spans="1:16" x14ac:dyDescent="0.25">
      <c r="A139">
        <v>1725337588</v>
      </c>
      <c r="B139">
        <v>1734624654</v>
      </c>
      <c r="C139" s="6">
        <v>8333.33</v>
      </c>
      <c r="D139">
        <f>VLOOKUP(A139,Sheet1!$N$4:$O$136,2,FALSE)</f>
        <v>369052</v>
      </c>
      <c r="E139">
        <f>VLOOKUP(B139,Sheet1!$N$4:$O$136,2,FALSE)</f>
        <v>551402</v>
      </c>
      <c r="F139" t="s">
        <v>84</v>
      </c>
      <c r="G139" t="s">
        <v>108</v>
      </c>
      <c r="I139" t="str">
        <f t="shared" si="2"/>
        <v>1725337588, 1734624654,[Per Suspense SOP]</v>
      </c>
      <c r="P139" t="s">
        <v>188</v>
      </c>
    </row>
    <row r="140" spans="1:16" x14ac:dyDescent="0.25">
      <c r="A140">
        <v>1725337588</v>
      </c>
      <c r="B140">
        <v>1734624677</v>
      </c>
      <c r="C140" s="6">
        <v>8333.33</v>
      </c>
      <c r="D140">
        <f>VLOOKUP(A140,Sheet1!$N$4:$O$136,2,FALSE)</f>
        <v>369052</v>
      </c>
      <c r="E140">
        <f>VLOOKUP(B140,Sheet1!$N$4:$O$136,2,FALSE)</f>
        <v>551402</v>
      </c>
      <c r="F140" t="s">
        <v>85</v>
      </c>
      <c r="G140" t="s">
        <v>108</v>
      </c>
      <c r="I140" t="str">
        <f t="shared" si="2"/>
        <v>1725337588, 1734624677,[Per Suspense SOP]</v>
      </c>
      <c r="P140" t="s">
        <v>189</v>
      </c>
    </row>
    <row r="141" spans="1:16" x14ac:dyDescent="0.25">
      <c r="A141">
        <v>1725337588</v>
      </c>
      <c r="B141">
        <v>1734624663</v>
      </c>
      <c r="C141" s="6">
        <v>8333.33</v>
      </c>
      <c r="D141">
        <f>VLOOKUP(A141,Sheet1!$N$4:$O$136,2,FALSE)</f>
        <v>369052</v>
      </c>
      <c r="E141">
        <f>VLOOKUP(B141,Sheet1!$N$4:$O$136,2,FALSE)</f>
        <v>551402</v>
      </c>
      <c r="F141" t="s">
        <v>86</v>
      </c>
      <c r="G141" t="s">
        <v>108</v>
      </c>
      <c r="I141" t="str">
        <f t="shared" si="2"/>
        <v>1725337588, 1734624663,[Per Suspense SOP]</v>
      </c>
      <c r="P141" t="s">
        <v>190</v>
      </c>
    </row>
    <row r="142" spans="1:16" x14ac:dyDescent="0.25">
      <c r="A142">
        <v>1725337588</v>
      </c>
      <c r="B142">
        <v>1734624660</v>
      </c>
      <c r="C142" s="6">
        <v>8333.33</v>
      </c>
      <c r="D142">
        <f>VLOOKUP(A142,Sheet1!$N$4:$O$136,2,FALSE)</f>
        <v>369052</v>
      </c>
      <c r="E142">
        <f>VLOOKUP(B142,Sheet1!$N$4:$O$136,2,FALSE)</f>
        <v>551402</v>
      </c>
      <c r="F142" t="s">
        <v>87</v>
      </c>
      <c r="G142" t="s">
        <v>108</v>
      </c>
      <c r="I142" t="str">
        <f t="shared" si="2"/>
        <v>1725337588, 1734624660,[Per Suspense SOP]</v>
      </c>
      <c r="P142" t="s">
        <v>191</v>
      </c>
    </row>
    <row r="143" spans="1:16" x14ac:dyDescent="0.25">
      <c r="A143">
        <v>1725337588</v>
      </c>
      <c r="B143">
        <v>1734624667</v>
      </c>
      <c r="C143" s="6">
        <v>8333.33</v>
      </c>
      <c r="D143">
        <f>VLOOKUP(A143,Sheet1!$N$4:$O$136,2,FALSE)</f>
        <v>369052</v>
      </c>
      <c r="E143">
        <f>VLOOKUP(B143,Sheet1!$N$4:$O$136,2,FALSE)</f>
        <v>551402</v>
      </c>
      <c r="F143" t="s">
        <v>88</v>
      </c>
      <c r="G143" t="s">
        <v>108</v>
      </c>
      <c r="I143" t="str">
        <f t="shared" si="2"/>
        <v>1725337588, 1734624667,[Per Suspense SOP]</v>
      </c>
      <c r="P143" t="s">
        <v>192</v>
      </c>
    </row>
    <row r="144" spans="1:16" x14ac:dyDescent="0.25">
      <c r="A144">
        <v>1725337589</v>
      </c>
      <c r="B144">
        <v>1734624680</v>
      </c>
      <c r="C144" s="6">
        <v>9583.33</v>
      </c>
      <c r="D144">
        <f>VLOOKUP(A144,Sheet1!$N$4:$O$136,2,FALSE)</f>
        <v>369052</v>
      </c>
      <c r="E144">
        <f>VLOOKUP(B144,Sheet1!$N$4:$O$136,2,FALSE)</f>
        <v>551402</v>
      </c>
      <c r="F144" t="s">
        <v>89</v>
      </c>
      <c r="G144" t="s">
        <v>108</v>
      </c>
      <c r="I144" t="str">
        <f t="shared" si="2"/>
        <v>1725337589, 1734624680,[Per Suspense SOP]</v>
      </c>
      <c r="P144" t="s">
        <v>193</v>
      </c>
    </row>
    <row r="145" spans="1:16" x14ac:dyDescent="0.25">
      <c r="A145">
        <v>1725337594</v>
      </c>
      <c r="B145">
        <v>1734624682</v>
      </c>
      <c r="C145" s="6">
        <v>10416.67</v>
      </c>
      <c r="D145">
        <f>VLOOKUP(A145,Sheet1!$N$4:$O$136,2,FALSE)</f>
        <v>369052</v>
      </c>
      <c r="E145">
        <f>VLOOKUP(B145,Sheet1!$N$4:$O$136,2,FALSE)</f>
        <v>551402</v>
      </c>
      <c r="F145" t="s">
        <v>90</v>
      </c>
      <c r="G145" t="s">
        <v>108</v>
      </c>
      <c r="I145" t="str">
        <f t="shared" si="2"/>
        <v>1725337594, 1734624682,[Per Suspense SOP]</v>
      </c>
      <c r="P145" t="s">
        <v>194</v>
      </c>
    </row>
    <row r="146" spans="1:16" x14ac:dyDescent="0.25">
      <c r="A146">
        <v>1725337591</v>
      </c>
      <c r="B146">
        <v>1734624685</v>
      </c>
      <c r="C146" s="6">
        <v>25000</v>
      </c>
      <c r="D146">
        <f>VLOOKUP(A146,Sheet1!$N$4:$O$136,2,FALSE)</f>
        <v>369052</v>
      </c>
      <c r="E146">
        <f>VLOOKUP(B146,Sheet1!$N$4:$O$136,2,FALSE)</f>
        <v>551402</v>
      </c>
      <c r="F146" t="s">
        <v>91</v>
      </c>
      <c r="G146" t="s">
        <v>108</v>
      </c>
      <c r="I146" t="str">
        <f t="shared" si="2"/>
        <v>1725337591, 1734624685,[Per Suspense SOP]</v>
      </c>
      <c r="P146" t="s">
        <v>195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46"/>
  <sheetViews>
    <sheetView topLeftCell="A4" workbookViewId="0">
      <selection activeCell="H1" sqref="H1:H1048576"/>
    </sheetView>
  </sheetViews>
  <sheetFormatPr defaultRowHeight="15" x14ac:dyDescent="0.25"/>
  <cols>
    <col min="1" max="1" width="16" customWidth="1"/>
    <col min="2" max="2" width="22" customWidth="1"/>
    <col min="3" max="3" width="16" customWidth="1"/>
    <col min="4" max="4" width="17" customWidth="1"/>
    <col min="5" max="5" width="15" customWidth="1"/>
    <col min="6" max="7" width="14" customWidth="1"/>
    <col min="8" max="8" width="20.7109375" style="6" customWidth="1"/>
    <col min="9" max="9" width="11" customWidth="1"/>
    <col min="10" max="10" width="20" customWidth="1"/>
    <col min="11" max="11" width="21" customWidth="1"/>
    <col min="12" max="12" width="14" customWidth="1"/>
    <col min="13" max="13" width="25" customWidth="1"/>
  </cols>
  <sheetData>
    <row r="1" spans="1:13" x14ac:dyDescent="0.25">
      <c r="A1" s="1" t="s">
        <v>92</v>
      </c>
      <c r="B1" s="1" t="s">
        <v>93</v>
      </c>
      <c r="C1" s="1" t="s">
        <v>94</v>
      </c>
      <c r="D1" s="1" t="s">
        <v>95</v>
      </c>
      <c r="E1" s="1" t="s">
        <v>96</v>
      </c>
      <c r="F1" s="1" t="s">
        <v>97</v>
      </c>
      <c r="G1" s="1" t="s">
        <v>98</v>
      </c>
      <c r="H1" s="5" t="s">
        <v>2</v>
      </c>
      <c r="I1" s="1" t="s">
        <v>99</v>
      </c>
      <c r="J1" s="1" t="s">
        <v>100</v>
      </c>
      <c r="K1" s="1" t="s">
        <v>101</v>
      </c>
      <c r="L1" s="1" t="s">
        <v>102</v>
      </c>
      <c r="M1" s="1" t="s">
        <v>103</v>
      </c>
    </row>
    <row r="2" spans="1:13" x14ac:dyDescent="0.25">
      <c r="A2">
        <v>551389</v>
      </c>
      <c r="B2" t="s">
        <v>104</v>
      </c>
      <c r="C2" s="2">
        <v>45964</v>
      </c>
      <c r="D2" s="2">
        <v>45964</v>
      </c>
      <c r="E2" s="3">
        <v>45964</v>
      </c>
      <c r="F2" t="s">
        <v>105</v>
      </c>
      <c r="G2" t="s">
        <v>106</v>
      </c>
      <c r="H2" s="6">
        <v>-3102567.09</v>
      </c>
      <c r="I2" t="s">
        <v>107</v>
      </c>
      <c r="J2">
        <v>1704283890</v>
      </c>
      <c r="K2">
        <v>551389</v>
      </c>
      <c r="L2" s="3">
        <v>45964</v>
      </c>
      <c r="M2">
        <v>1734624722</v>
      </c>
    </row>
    <row r="3" spans="1:13" x14ac:dyDescent="0.25">
      <c r="A3">
        <v>551389</v>
      </c>
      <c r="B3" t="s">
        <v>104</v>
      </c>
      <c r="C3" s="2">
        <v>45964</v>
      </c>
      <c r="D3" s="2">
        <v>45964</v>
      </c>
      <c r="E3" s="3">
        <v>45964</v>
      </c>
      <c r="F3" t="s">
        <v>105</v>
      </c>
      <c r="G3" t="s">
        <v>106</v>
      </c>
      <c r="H3" s="6">
        <v>2452621.69</v>
      </c>
      <c r="I3" t="s">
        <v>107</v>
      </c>
      <c r="J3">
        <v>1704283895</v>
      </c>
      <c r="K3">
        <v>551389</v>
      </c>
      <c r="L3" s="3">
        <v>45964</v>
      </c>
      <c r="M3">
        <v>1734624723</v>
      </c>
    </row>
    <row r="4" spans="1:13" x14ac:dyDescent="0.25">
      <c r="A4">
        <v>551389</v>
      </c>
      <c r="B4" t="s">
        <v>104</v>
      </c>
      <c r="C4" s="2">
        <v>45965</v>
      </c>
      <c r="D4" s="2">
        <v>45965</v>
      </c>
      <c r="E4" s="3">
        <v>45965</v>
      </c>
      <c r="F4" t="s">
        <v>105</v>
      </c>
      <c r="G4" t="s">
        <v>106</v>
      </c>
      <c r="H4" s="6">
        <v>-2452621.69</v>
      </c>
      <c r="I4" t="s">
        <v>107</v>
      </c>
      <c r="J4">
        <v>1705487944</v>
      </c>
      <c r="K4">
        <v>551389</v>
      </c>
      <c r="L4" s="3">
        <v>45965</v>
      </c>
      <c r="M4">
        <v>1734624724</v>
      </c>
    </row>
    <row r="5" spans="1:13" x14ac:dyDescent="0.25">
      <c r="A5">
        <v>551389</v>
      </c>
      <c r="B5" t="s">
        <v>104</v>
      </c>
      <c r="C5" s="2">
        <v>45965</v>
      </c>
      <c r="D5" s="2">
        <v>45965</v>
      </c>
      <c r="E5" s="3">
        <v>45965</v>
      </c>
      <c r="F5" t="s">
        <v>105</v>
      </c>
      <c r="G5" t="s">
        <v>106</v>
      </c>
      <c r="H5" s="6">
        <v>5072833.3499999996</v>
      </c>
      <c r="I5" t="s">
        <v>107</v>
      </c>
      <c r="J5">
        <v>1705487947</v>
      </c>
      <c r="K5">
        <v>551389</v>
      </c>
      <c r="L5" s="3">
        <v>45965</v>
      </c>
      <c r="M5">
        <v>1734624725</v>
      </c>
    </row>
    <row r="6" spans="1:13" x14ac:dyDescent="0.25">
      <c r="A6">
        <v>551389</v>
      </c>
      <c r="B6" t="s">
        <v>104</v>
      </c>
      <c r="C6" s="2">
        <v>45966</v>
      </c>
      <c r="D6" s="2">
        <v>45966</v>
      </c>
      <c r="E6" s="3">
        <v>45966</v>
      </c>
      <c r="F6" t="s">
        <v>105</v>
      </c>
      <c r="G6" t="s">
        <v>106</v>
      </c>
      <c r="H6" s="6">
        <v>-5072833.3499999996</v>
      </c>
      <c r="I6" t="s">
        <v>107</v>
      </c>
      <c r="J6">
        <v>1706309646</v>
      </c>
      <c r="K6">
        <v>551389</v>
      </c>
      <c r="L6" s="3">
        <v>45966</v>
      </c>
      <c r="M6">
        <v>1734624726</v>
      </c>
    </row>
    <row r="7" spans="1:13" x14ac:dyDescent="0.25">
      <c r="A7">
        <v>551389</v>
      </c>
      <c r="B7" t="s">
        <v>104</v>
      </c>
      <c r="C7" s="2">
        <v>45966</v>
      </c>
      <c r="D7" s="2">
        <v>45966</v>
      </c>
      <c r="E7" s="3">
        <v>45966</v>
      </c>
      <c r="F7" t="s">
        <v>105</v>
      </c>
      <c r="G7" t="s">
        <v>106</v>
      </c>
      <c r="H7" s="6">
        <v>50350316.75</v>
      </c>
      <c r="I7" t="s">
        <v>107</v>
      </c>
      <c r="J7">
        <v>1706309641</v>
      </c>
      <c r="K7">
        <v>551389</v>
      </c>
      <c r="L7" s="3">
        <v>45966</v>
      </c>
      <c r="M7">
        <v>1734624727</v>
      </c>
    </row>
    <row r="8" spans="1:13" x14ac:dyDescent="0.25">
      <c r="A8">
        <v>551389</v>
      </c>
      <c r="B8" t="s">
        <v>104</v>
      </c>
      <c r="C8" s="2">
        <v>45967</v>
      </c>
      <c r="D8" s="2">
        <v>45967</v>
      </c>
      <c r="E8" s="3">
        <v>45967</v>
      </c>
      <c r="F8" t="s">
        <v>105</v>
      </c>
      <c r="G8" t="s">
        <v>106</v>
      </c>
      <c r="H8" s="6">
        <v>-50350316.75</v>
      </c>
      <c r="I8" t="s">
        <v>107</v>
      </c>
      <c r="J8">
        <v>1707275479</v>
      </c>
      <c r="K8">
        <v>551389</v>
      </c>
      <c r="L8" s="3">
        <v>45967</v>
      </c>
      <c r="M8">
        <v>1734624728</v>
      </c>
    </row>
    <row r="9" spans="1:13" x14ac:dyDescent="0.25">
      <c r="A9">
        <v>551389</v>
      </c>
      <c r="B9" t="s">
        <v>104</v>
      </c>
      <c r="C9" s="2">
        <v>45967</v>
      </c>
      <c r="D9" s="2">
        <v>45967</v>
      </c>
      <c r="E9" s="3">
        <v>45967</v>
      </c>
      <c r="F9" t="s">
        <v>105</v>
      </c>
      <c r="G9" t="s">
        <v>106</v>
      </c>
      <c r="H9" s="6">
        <v>4694670.12</v>
      </c>
      <c r="I9" t="s">
        <v>107</v>
      </c>
      <c r="J9">
        <v>1707275474</v>
      </c>
      <c r="K9">
        <v>551389</v>
      </c>
      <c r="L9" s="3">
        <v>45967</v>
      </c>
      <c r="M9">
        <v>1734624729</v>
      </c>
    </row>
    <row r="10" spans="1:13" x14ac:dyDescent="0.25">
      <c r="A10">
        <v>551389</v>
      </c>
      <c r="B10" t="s">
        <v>104</v>
      </c>
      <c r="C10" s="2">
        <v>45968</v>
      </c>
      <c r="D10" s="2">
        <v>45968</v>
      </c>
      <c r="E10" s="3">
        <v>45968</v>
      </c>
      <c r="F10" t="s">
        <v>105</v>
      </c>
      <c r="G10" t="s">
        <v>106</v>
      </c>
      <c r="H10" s="6">
        <v>-4694670.12</v>
      </c>
      <c r="I10" t="s">
        <v>107</v>
      </c>
      <c r="J10">
        <v>1708345659</v>
      </c>
      <c r="K10">
        <v>551389</v>
      </c>
      <c r="L10" s="3">
        <v>45968</v>
      </c>
      <c r="M10">
        <v>1734624730</v>
      </c>
    </row>
    <row r="11" spans="1:13" x14ac:dyDescent="0.25">
      <c r="A11">
        <v>551389</v>
      </c>
      <c r="B11" t="s">
        <v>104</v>
      </c>
      <c r="C11" s="2">
        <v>45968</v>
      </c>
      <c r="D11" s="2">
        <v>45968</v>
      </c>
      <c r="E11" s="3">
        <v>45968</v>
      </c>
      <c r="F11" t="s">
        <v>105</v>
      </c>
      <c r="G11" t="s">
        <v>106</v>
      </c>
      <c r="H11" s="6">
        <v>4590075.28</v>
      </c>
      <c r="I11" t="s">
        <v>107</v>
      </c>
      <c r="J11">
        <v>1708345664</v>
      </c>
      <c r="K11">
        <v>551389</v>
      </c>
      <c r="L11" s="3">
        <v>45968</v>
      </c>
      <c r="M11">
        <v>1734624731</v>
      </c>
    </row>
    <row r="12" spans="1:13" x14ac:dyDescent="0.25">
      <c r="A12">
        <v>551389</v>
      </c>
      <c r="B12" t="s">
        <v>104</v>
      </c>
      <c r="C12" s="2">
        <v>45971</v>
      </c>
      <c r="D12" s="2">
        <v>45971</v>
      </c>
      <c r="E12" s="3">
        <v>45971</v>
      </c>
      <c r="F12" t="s">
        <v>105</v>
      </c>
      <c r="G12" t="s">
        <v>106</v>
      </c>
      <c r="H12" s="6">
        <v>-4590075.28</v>
      </c>
      <c r="I12" t="s">
        <v>107</v>
      </c>
      <c r="J12">
        <v>1709649663</v>
      </c>
      <c r="K12">
        <v>551389</v>
      </c>
      <c r="L12" s="3">
        <v>45971</v>
      </c>
      <c r="M12">
        <v>1734624732</v>
      </c>
    </row>
    <row r="13" spans="1:13" x14ac:dyDescent="0.25">
      <c r="A13">
        <v>551389</v>
      </c>
      <c r="B13" t="s">
        <v>104</v>
      </c>
      <c r="C13" s="2">
        <v>45971</v>
      </c>
      <c r="D13" s="2">
        <v>45971</v>
      </c>
      <c r="E13" s="3">
        <v>45971</v>
      </c>
      <c r="F13" t="s">
        <v>105</v>
      </c>
      <c r="G13" t="s">
        <v>106</v>
      </c>
      <c r="H13" s="6">
        <v>14078263.67</v>
      </c>
      <c r="I13" t="s">
        <v>107</v>
      </c>
      <c r="J13">
        <v>1709649665</v>
      </c>
      <c r="K13">
        <v>551389</v>
      </c>
      <c r="L13" s="3">
        <v>45971</v>
      </c>
      <c r="M13">
        <v>1734624733</v>
      </c>
    </row>
    <row r="14" spans="1:13" x14ac:dyDescent="0.25">
      <c r="A14">
        <v>551389</v>
      </c>
      <c r="B14" t="s">
        <v>104</v>
      </c>
      <c r="C14" s="2">
        <v>45973</v>
      </c>
      <c r="D14" s="2">
        <v>45973</v>
      </c>
      <c r="E14" s="3">
        <v>45973</v>
      </c>
      <c r="F14" t="s">
        <v>105</v>
      </c>
      <c r="G14" t="s">
        <v>106</v>
      </c>
      <c r="H14" s="6">
        <v>-14078263.67</v>
      </c>
      <c r="I14" t="s">
        <v>107</v>
      </c>
      <c r="J14">
        <v>1710390417</v>
      </c>
      <c r="K14">
        <v>551389</v>
      </c>
      <c r="L14" s="3">
        <v>45973</v>
      </c>
      <c r="M14">
        <v>1734624734</v>
      </c>
    </row>
    <row r="15" spans="1:13" x14ac:dyDescent="0.25">
      <c r="A15">
        <v>551389</v>
      </c>
      <c r="B15" t="s">
        <v>104</v>
      </c>
      <c r="C15" s="2">
        <v>45973</v>
      </c>
      <c r="D15" s="2">
        <v>45973</v>
      </c>
      <c r="E15" s="3">
        <v>45973</v>
      </c>
      <c r="F15" t="s">
        <v>105</v>
      </c>
      <c r="G15" t="s">
        <v>106</v>
      </c>
      <c r="H15" s="6">
        <v>14480161.800000001</v>
      </c>
      <c r="I15" t="s">
        <v>107</v>
      </c>
      <c r="J15">
        <v>1710390415</v>
      </c>
      <c r="K15">
        <v>551389</v>
      </c>
      <c r="L15" s="3">
        <v>45973</v>
      </c>
      <c r="M15">
        <v>1734624735</v>
      </c>
    </row>
    <row r="16" spans="1:13" x14ac:dyDescent="0.25">
      <c r="A16">
        <v>551389</v>
      </c>
      <c r="B16" t="s">
        <v>104</v>
      </c>
      <c r="C16" s="2">
        <v>45974</v>
      </c>
      <c r="D16" s="2">
        <v>45974</v>
      </c>
      <c r="E16" s="3">
        <v>45974</v>
      </c>
      <c r="F16" t="s">
        <v>105</v>
      </c>
      <c r="G16" t="s">
        <v>106</v>
      </c>
      <c r="H16" s="6">
        <v>-14480161.800000001</v>
      </c>
      <c r="I16" t="s">
        <v>107</v>
      </c>
      <c r="J16">
        <v>1711572938</v>
      </c>
      <c r="K16">
        <v>551389</v>
      </c>
      <c r="L16" s="3">
        <v>45974</v>
      </c>
      <c r="M16">
        <v>1734624736</v>
      </c>
    </row>
    <row r="17" spans="1:13" x14ac:dyDescent="0.25">
      <c r="A17">
        <v>551389</v>
      </c>
      <c r="B17" t="s">
        <v>104</v>
      </c>
      <c r="C17" s="2">
        <v>45974</v>
      </c>
      <c r="D17" s="2">
        <v>45974</v>
      </c>
      <c r="E17" s="3">
        <v>45974</v>
      </c>
      <c r="F17" t="s">
        <v>105</v>
      </c>
      <c r="G17" t="s">
        <v>106</v>
      </c>
      <c r="H17" s="6">
        <v>4169411.46</v>
      </c>
      <c r="I17" t="s">
        <v>107</v>
      </c>
      <c r="J17">
        <v>1711572936</v>
      </c>
      <c r="K17">
        <v>551389</v>
      </c>
      <c r="L17" s="3">
        <v>45974</v>
      </c>
      <c r="M17">
        <v>1734624737</v>
      </c>
    </row>
    <row r="18" spans="1:13" x14ac:dyDescent="0.25">
      <c r="A18">
        <v>551389</v>
      </c>
      <c r="B18" t="s">
        <v>104</v>
      </c>
      <c r="C18" s="2">
        <v>45975</v>
      </c>
      <c r="D18" s="2">
        <v>45975</v>
      </c>
      <c r="E18" s="3">
        <v>45975</v>
      </c>
      <c r="F18" t="s">
        <v>105</v>
      </c>
      <c r="G18" t="s">
        <v>106</v>
      </c>
      <c r="H18" s="6">
        <v>-4169411.46</v>
      </c>
      <c r="I18" t="s">
        <v>107</v>
      </c>
      <c r="J18">
        <v>1712757849</v>
      </c>
      <c r="K18">
        <v>551389</v>
      </c>
      <c r="L18" s="3">
        <v>45975</v>
      </c>
      <c r="M18">
        <v>1734624738</v>
      </c>
    </row>
    <row r="19" spans="1:13" x14ac:dyDescent="0.25">
      <c r="A19">
        <v>551389</v>
      </c>
      <c r="B19" t="s">
        <v>104</v>
      </c>
      <c r="C19" s="2">
        <v>45975</v>
      </c>
      <c r="D19" s="2">
        <v>45975</v>
      </c>
      <c r="E19" s="3">
        <v>45975</v>
      </c>
      <c r="F19" t="s">
        <v>105</v>
      </c>
      <c r="G19" t="s">
        <v>106</v>
      </c>
      <c r="H19" s="6">
        <v>4169771.29</v>
      </c>
      <c r="I19" t="s">
        <v>107</v>
      </c>
      <c r="J19">
        <v>1712757847</v>
      </c>
      <c r="K19">
        <v>551389</v>
      </c>
      <c r="L19" s="3">
        <v>45975</v>
      </c>
      <c r="M19">
        <v>1734624739</v>
      </c>
    </row>
    <row r="20" spans="1:13" x14ac:dyDescent="0.25">
      <c r="A20">
        <v>551389</v>
      </c>
      <c r="B20" t="s">
        <v>104</v>
      </c>
      <c r="C20" s="2">
        <v>45978</v>
      </c>
      <c r="D20" s="2">
        <v>45978</v>
      </c>
      <c r="E20" s="3">
        <v>45978</v>
      </c>
      <c r="F20" t="s">
        <v>105</v>
      </c>
      <c r="G20" t="s">
        <v>106</v>
      </c>
      <c r="H20" s="6">
        <v>-4169771.29</v>
      </c>
      <c r="I20" t="s">
        <v>107</v>
      </c>
      <c r="J20">
        <v>1714404903</v>
      </c>
      <c r="K20">
        <v>551389</v>
      </c>
      <c r="L20" s="3">
        <v>45978</v>
      </c>
      <c r="M20">
        <v>1734624740</v>
      </c>
    </row>
    <row r="21" spans="1:13" x14ac:dyDescent="0.25">
      <c r="A21">
        <v>551389</v>
      </c>
      <c r="B21" t="s">
        <v>104</v>
      </c>
      <c r="C21" s="2">
        <v>45978</v>
      </c>
      <c r="D21" s="2">
        <v>45978</v>
      </c>
      <c r="E21" s="3">
        <v>45978</v>
      </c>
      <c r="F21" t="s">
        <v>105</v>
      </c>
      <c r="G21" t="s">
        <v>106</v>
      </c>
      <c r="H21" s="6">
        <v>20070850.859999999</v>
      </c>
      <c r="I21" t="s">
        <v>107</v>
      </c>
      <c r="J21">
        <v>1714404908</v>
      </c>
      <c r="K21">
        <v>551389</v>
      </c>
      <c r="L21" s="3">
        <v>45978</v>
      </c>
      <c r="M21">
        <v>1734624741</v>
      </c>
    </row>
    <row r="22" spans="1:13" x14ac:dyDescent="0.25">
      <c r="A22">
        <v>551389</v>
      </c>
      <c r="B22" t="s">
        <v>104</v>
      </c>
      <c r="C22" s="2">
        <v>45979</v>
      </c>
      <c r="D22" s="2">
        <v>45979</v>
      </c>
      <c r="E22" s="3">
        <v>45979</v>
      </c>
      <c r="F22" t="s">
        <v>105</v>
      </c>
      <c r="G22" t="s">
        <v>106</v>
      </c>
      <c r="H22" s="6">
        <v>-20070850.859999999</v>
      </c>
      <c r="I22" t="s">
        <v>107</v>
      </c>
      <c r="J22">
        <v>1715446330</v>
      </c>
      <c r="K22">
        <v>551389</v>
      </c>
      <c r="L22" s="3">
        <v>45979</v>
      </c>
      <c r="M22">
        <v>1734624742</v>
      </c>
    </row>
    <row r="23" spans="1:13" x14ac:dyDescent="0.25">
      <c r="A23">
        <v>551389</v>
      </c>
      <c r="B23" t="s">
        <v>104</v>
      </c>
      <c r="C23" s="2">
        <v>45979</v>
      </c>
      <c r="D23" s="2">
        <v>45979</v>
      </c>
      <c r="E23" s="3">
        <v>45979</v>
      </c>
      <c r="F23" t="s">
        <v>105</v>
      </c>
      <c r="G23" t="s">
        <v>106</v>
      </c>
      <c r="H23" s="6">
        <v>57592583</v>
      </c>
      <c r="I23" t="s">
        <v>107</v>
      </c>
      <c r="J23">
        <v>1715446336</v>
      </c>
      <c r="K23">
        <v>551389</v>
      </c>
      <c r="L23" s="3">
        <v>45979</v>
      </c>
      <c r="M23">
        <v>1734624743</v>
      </c>
    </row>
    <row r="24" spans="1:13" x14ac:dyDescent="0.25">
      <c r="A24">
        <v>551389</v>
      </c>
      <c r="B24" t="s">
        <v>104</v>
      </c>
      <c r="C24" s="2">
        <v>45980</v>
      </c>
      <c r="D24" s="2">
        <v>45980</v>
      </c>
      <c r="E24" s="3">
        <v>45980</v>
      </c>
      <c r="F24" t="s">
        <v>105</v>
      </c>
      <c r="G24" t="s">
        <v>106</v>
      </c>
      <c r="H24" s="6">
        <v>-57592583</v>
      </c>
      <c r="I24" t="s">
        <v>107</v>
      </c>
      <c r="J24">
        <v>1716342294</v>
      </c>
      <c r="K24">
        <v>551389</v>
      </c>
      <c r="L24" s="3">
        <v>45980</v>
      </c>
      <c r="M24">
        <v>1734624744</v>
      </c>
    </row>
    <row r="25" spans="1:13" x14ac:dyDescent="0.25">
      <c r="A25">
        <v>551389</v>
      </c>
      <c r="B25" t="s">
        <v>104</v>
      </c>
      <c r="C25" s="2">
        <v>45980</v>
      </c>
      <c r="D25" s="2">
        <v>45980</v>
      </c>
      <c r="E25" s="3">
        <v>45980</v>
      </c>
      <c r="F25" t="s">
        <v>105</v>
      </c>
      <c r="G25" t="s">
        <v>106</v>
      </c>
      <c r="H25" s="6">
        <v>6257441.9500000002</v>
      </c>
      <c r="I25" t="s">
        <v>107</v>
      </c>
      <c r="J25">
        <v>1716342311</v>
      </c>
      <c r="K25">
        <v>551389</v>
      </c>
      <c r="L25" s="3">
        <v>45980</v>
      </c>
      <c r="M25">
        <v>1734624745</v>
      </c>
    </row>
    <row r="26" spans="1:13" x14ac:dyDescent="0.25">
      <c r="A26">
        <v>551389</v>
      </c>
      <c r="B26" t="s">
        <v>104</v>
      </c>
      <c r="C26" s="2">
        <v>45981</v>
      </c>
      <c r="D26" s="2">
        <v>45981</v>
      </c>
      <c r="E26" s="3">
        <v>45981</v>
      </c>
      <c r="F26" t="s">
        <v>105</v>
      </c>
      <c r="G26" t="s">
        <v>106</v>
      </c>
      <c r="H26" s="6">
        <v>-6257441.9500000002</v>
      </c>
      <c r="I26" t="s">
        <v>107</v>
      </c>
      <c r="J26">
        <v>1717299757</v>
      </c>
      <c r="K26">
        <v>551389</v>
      </c>
      <c r="L26" s="3">
        <v>45981</v>
      </c>
      <c r="M26">
        <v>1734624746</v>
      </c>
    </row>
    <row r="27" spans="1:13" x14ac:dyDescent="0.25">
      <c r="A27">
        <v>551389</v>
      </c>
      <c r="B27" t="s">
        <v>104</v>
      </c>
      <c r="C27" s="2">
        <v>45981</v>
      </c>
      <c r="D27" s="2">
        <v>45981</v>
      </c>
      <c r="E27" s="3">
        <v>45981</v>
      </c>
      <c r="F27" t="s">
        <v>105</v>
      </c>
      <c r="G27" t="s">
        <v>106</v>
      </c>
      <c r="H27" s="6">
        <v>15512681.98</v>
      </c>
      <c r="I27" t="s">
        <v>107</v>
      </c>
      <c r="J27">
        <v>1717299750</v>
      </c>
      <c r="K27">
        <v>551389</v>
      </c>
      <c r="L27" s="3">
        <v>45981</v>
      </c>
      <c r="M27">
        <v>1734624747</v>
      </c>
    </row>
    <row r="28" spans="1:13" x14ac:dyDescent="0.25">
      <c r="A28">
        <v>551389</v>
      </c>
      <c r="B28" t="s">
        <v>104</v>
      </c>
      <c r="C28" s="2">
        <v>45982</v>
      </c>
      <c r="D28" s="2">
        <v>45982</v>
      </c>
      <c r="E28" s="3">
        <v>45982</v>
      </c>
      <c r="F28" t="s">
        <v>105</v>
      </c>
      <c r="G28" t="s">
        <v>106</v>
      </c>
      <c r="H28" s="6">
        <v>-15512681.98</v>
      </c>
      <c r="I28" t="s">
        <v>107</v>
      </c>
      <c r="J28">
        <v>1718368862</v>
      </c>
      <c r="K28">
        <v>551389</v>
      </c>
      <c r="L28" s="3">
        <v>45982</v>
      </c>
      <c r="M28">
        <v>1734624748</v>
      </c>
    </row>
    <row r="29" spans="1:13" x14ac:dyDescent="0.25">
      <c r="A29">
        <v>551389</v>
      </c>
      <c r="B29" t="s">
        <v>104</v>
      </c>
      <c r="C29" s="2">
        <v>45982</v>
      </c>
      <c r="D29" s="2">
        <v>45982</v>
      </c>
      <c r="E29" s="3">
        <v>45982</v>
      </c>
      <c r="F29" t="s">
        <v>105</v>
      </c>
      <c r="G29" t="s">
        <v>106</v>
      </c>
      <c r="H29" s="6">
        <v>4131731.86</v>
      </c>
      <c r="I29" t="s">
        <v>107</v>
      </c>
      <c r="J29">
        <v>1718368860</v>
      </c>
      <c r="K29">
        <v>551389</v>
      </c>
      <c r="L29" s="3">
        <v>45982</v>
      </c>
      <c r="M29">
        <v>1734624749</v>
      </c>
    </row>
    <row r="30" spans="1:13" x14ac:dyDescent="0.25">
      <c r="A30">
        <v>551389</v>
      </c>
      <c r="B30" t="s">
        <v>104</v>
      </c>
      <c r="C30" s="2">
        <v>45985</v>
      </c>
      <c r="D30" s="2">
        <v>45985</v>
      </c>
      <c r="E30" s="3">
        <v>45985</v>
      </c>
      <c r="F30" t="s">
        <v>105</v>
      </c>
      <c r="G30" t="s">
        <v>106</v>
      </c>
      <c r="H30" s="6">
        <v>-4131731.86</v>
      </c>
      <c r="I30" t="s">
        <v>107</v>
      </c>
      <c r="J30">
        <v>1719434897</v>
      </c>
      <c r="K30">
        <v>551389</v>
      </c>
      <c r="L30" s="3">
        <v>45985</v>
      </c>
      <c r="M30">
        <v>1734624750</v>
      </c>
    </row>
    <row r="31" spans="1:13" x14ac:dyDescent="0.25">
      <c r="A31">
        <v>551389</v>
      </c>
      <c r="B31" t="s">
        <v>104</v>
      </c>
      <c r="C31" s="2">
        <v>45985</v>
      </c>
      <c r="D31" s="2">
        <v>45985</v>
      </c>
      <c r="E31" s="3">
        <v>45985</v>
      </c>
      <c r="F31" t="s">
        <v>105</v>
      </c>
      <c r="G31" t="s">
        <v>106</v>
      </c>
      <c r="H31" s="6">
        <v>13833801.58</v>
      </c>
      <c r="I31" t="s">
        <v>107</v>
      </c>
      <c r="J31">
        <v>1719434901</v>
      </c>
      <c r="K31">
        <v>551389</v>
      </c>
      <c r="L31" s="3">
        <v>45985</v>
      </c>
      <c r="M31">
        <v>1734624751</v>
      </c>
    </row>
    <row r="32" spans="1:13" x14ac:dyDescent="0.25">
      <c r="A32">
        <v>551389</v>
      </c>
      <c r="B32" t="s">
        <v>104</v>
      </c>
      <c r="C32" s="2">
        <v>45986</v>
      </c>
      <c r="D32" s="2">
        <v>45986</v>
      </c>
      <c r="E32" s="3">
        <v>45986</v>
      </c>
      <c r="F32" t="s">
        <v>105</v>
      </c>
      <c r="G32" t="s">
        <v>106</v>
      </c>
      <c r="H32" s="6">
        <v>-13833801.58</v>
      </c>
      <c r="I32" t="s">
        <v>107</v>
      </c>
      <c r="J32">
        <v>1721888997</v>
      </c>
      <c r="K32">
        <v>551389</v>
      </c>
      <c r="L32" s="3">
        <v>45986</v>
      </c>
      <c r="M32">
        <v>1734624752</v>
      </c>
    </row>
    <row r="33" spans="1:13" x14ac:dyDescent="0.25">
      <c r="A33">
        <v>551389</v>
      </c>
      <c r="B33" t="s">
        <v>104</v>
      </c>
      <c r="C33" s="2">
        <v>45986</v>
      </c>
      <c r="D33" s="2">
        <v>45986</v>
      </c>
      <c r="E33" s="3">
        <v>45986</v>
      </c>
      <c r="F33" t="s">
        <v>105</v>
      </c>
      <c r="G33" t="s">
        <v>106</v>
      </c>
      <c r="H33" s="6">
        <v>9450995.4600000009</v>
      </c>
      <c r="I33" t="s">
        <v>107</v>
      </c>
      <c r="J33">
        <v>1721889032</v>
      </c>
      <c r="K33">
        <v>551389</v>
      </c>
      <c r="L33" s="3">
        <v>45986</v>
      </c>
      <c r="M33">
        <v>1734624753</v>
      </c>
    </row>
    <row r="34" spans="1:13" x14ac:dyDescent="0.25">
      <c r="A34">
        <v>551389</v>
      </c>
      <c r="B34" t="s">
        <v>104</v>
      </c>
      <c r="C34" s="2">
        <v>45987</v>
      </c>
      <c r="D34" s="2">
        <v>45987</v>
      </c>
      <c r="E34" s="3">
        <v>45987</v>
      </c>
      <c r="F34" t="s">
        <v>105</v>
      </c>
      <c r="G34" t="s">
        <v>106</v>
      </c>
      <c r="H34" s="6">
        <v>-9450995.4600000009</v>
      </c>
      <c r="I34" t="s">
        <v>107</v>
      </c>
      <c r="J34">
        <v>1723352921</v>
      </c>
      <c r="K34">
        <v>551389</v>
      </c>
      <c r="L34" s="3">
        <v>45987</v>
      </c>
      <c r="M34">
        <v>1734624754</v>
      </c>
    </row>
    <row r="35" spans="1:13" x14ac:dyDescent="0.25">
      <c r="A35">
        <v>551389</v>
      </c>
      <c r="B35" t="s">
        <v>104</v>
      </c>
      <c r="C35" s="2">
        <v>45987</v>
      </c>
      <c r="D35" s="2">
        <v>45987</v>
      </c>
      <c r="E35" s="3">
        <v>45987</v>
      </c>
      <c r="F35" t="s">
        <v>105</v>
      </c>
      <c r="G35" t="s">
        <v>106</v>
      </c>
      <c r="H35" s="6">
        <v>9451811.0899999999</v>
      </c>
      <c r="I35" t="s">
        <v>107</v>
      </c>
      <c r="J35">
        <v>1723352923</v>
      </c>
      <c r="K35">
        <v>551389</v>
      </c>
      <c r="L35" s="3">
        <v>45987</v>
      </c>
      <c r="M35">
        <v>1734624755</v>
      </c>
    </row>
    <row r="36" spans="1:13" x14ac:dyDescent="0.25">
      <c r="A36">
        <v>551389</v>
      </c>
      <c r="B36" t="s">
        <v>104</v>
      </c>
      <c r="C36" s="2">
        <v>45989</v>
      </c>
      <c r="D36" s="2">
        <v>45989</v>
      </c>
      <c r="E36" s="3">
        <v>45989</v>
      </c>
      <c r="F36" t="s">
        <v>105</v>
      </c>
      <c r="G36" t="s">
        <v>106</v>
      </c>
      <c r="H36" s="6">
        <v>-9451811.0899999999</v>
      </c>
      <c r="I36" t="s">
        <v>107</v>
      </c>
      <c r="J36">
        <v>1725337484</v>
      </c>
      <c r="K36">
        <v>551389</v>
      </c>
      <c r="L36" s="3">
        <v>45989</v>
      </c>
      <c r="M36">
        <v>1734624756</v>
      </c>
    </row>
    <row r="37" spans="1:13" x14ac:dyDescent="0.25">
      <c r="A37">
        <v>551389</v>
      </c>
      <c r="B37" t="s">
        <v>104</v>
      </c>
      <c r="C37" s="2">
        <v>45989</v>
      </c>
      <c r="D37" s="2">
        <v>45989</v>
      </c>
      <c r="E37" s="3">
        <v>45989</v>
      </c>
      <c r="F37" t="s">
        <v>105</v>
      </c>
      <c r="G37" t="s">
        <v>106</v>
      </c>
      <c r="H37" s="6">
        <v>9391776.5</v>
      </c>
      <c r="I37" t="s">
        <v>107</v>
      </c>
      <c r="J37">
        <v>1725337486</v>
      </c>
      <c r="K37">
        <v>551389</v>
      </c>
      <c r="L37" s="3">
        <v>45989</v>
      </c>
      <c r="M37">
        <v>1734624757</v>
      </c>
    </row>
    <row r="38" spans="1:13" x14ac:dyDescent="0.25">
      <c r="A38">
        <v>551400</v>
      </c>
      <c r="B38" t="s">
        <v>104</v>
      </c>
      <c r="C38" s="2">
        <v>45966</v>
      </c>
      <c r="D38" s="2">
        <v>45966</v>
      </c>
      <c r="E38" s="3">
        <v>45966</v>
      </c>
      <c r="F38" t="s">
        <v>105</v>
      </c>
      <c r="G38" t="s">
        <v>106</v>
      </c>
      <c r="H38" s="6">
        <v>-44500000</v>
      </c>
      <c r="I38" t="s">
        <v>107</v>
      </c>
      <c r="J38">
        <v>1734624632</v>
      </c>
      <c r="K38">
        <v>551400</v>
      </c>
      <c r="L38" s="3">
        <v>45966</v>
      </c>
      <c r="M38">
        <v>1734624704</v>
      </c>
    </row>
    <row r="39" spans="1:13" x14ac:dyDescent="0.25">
      <c r="A39">
        <v>551400</v>
      </c>
      <c r="B39" t="s">
        <v>104</v>
      </c>
      <c r="C39" s="2">
        <v>45966</v>
      </c>
      <c r="D39" s="2">
        <v>45966</v>
      </c>
      <c r="E39" s="3">
        <v>45966</v>
      </c>
      <c r="F39" t="s">
        <v>105</v>
      </c>
      <c r="G39" t="s">
        <v>106</v>
      </c>
      <c r="H39" s="6">
        <v>-44500000</v>
      </c>
      <c r="I39" t="s">
        <v>107</v>
      </c>
      <c r="J39">
        <v>1734622500</v>
      </c>
      <c r="K39">
        <v>551400</v>
      </c>
      <c r="L39" s="3">
        <v>45966</v>
      </c>
      <c r="M39">
        <v>1734624704</v>
      </c>
    </row>
    <row r="40" spans="1:13" x14ac:dyDescent="0.25">
      <c r="A40">
        <v>551400</v>
      </c>
      <c r="B40" t="s">
        <v>104</v>
      </c>
      <c r="C40" s="2">
        <v>45971</v>
      </c>
      <c r="D40" s="2">
        <v>45971</v>
      </c>
      <c r="E40" s="3">
        <v>45971</v>
      </c>
      <c r="F40" t="s">
        <v>105</v>
      </c>
      <c r="G40" t="s">
        <v>106</v>
      </c>
      <c r="H40" s="6">
        <v>-2000000</v>
      </c>
      <c r="I40" t="s">
        <v>107</v>
      </c>
      <c r="J40">
        <v>1734622507</v>
      </c>
      <c r="K40">
        <v>551400</v>
      </c>
      <c r="L40" s="3">
        <v>45971</v>
      </c>
      <c r="M40">
        <v>1734624706</v>
      </c>
    </row>
    <row r="41" spans="1:13" x14ac:dyDescent="0.25">
      <c r="A41">
        <v>551400</v>
      </c>
      <c r="B41" t="s">
        <v>104</v>
      </c>
      <c r="C41" s="2">
        <v>45971</v>
      </c>
      <c r="D41" s="2">
        <v>45971</v>
      </c>
      <c r="E41" s="3">
        <v>45971</v>
      </c>
      <c r="F41" t="s">
        <v>105</v>
      </c>
      <c r="G41" t="s">
        <v>106</v>
      </c>
      <c r="H41" s="6">
        <v>-2000000</v>
      </c>
      <c r="I41" t="s">
        <v>107</v>
      </c>
      <c r="J41">
        <v>1734624636</v>
      </c>
      <c r="K41">
        <v>551400</v>
      </c>
      <c r="L41" s="3">
        <v>45971</v>
      </c>
      <c r="M41">
        <v>1734624706</v>
      </c>
    </row>
    <row r="42" spans="1:13" x14ac:dyDescent="0.25">
      <c r="A42">
        <v>551400</v>
      </c>
      <c r="B42" t="s">
        <v>104</v>
      </c>
      <c r="C42" s="2">
        <v>45971</v>
      </c>
      <c r="D42" s="2">
        <v>45971</v>
      </c>
      <c r="E42" s="3">
        <v>45971</v>
      </c>
      <c r="F42" t="s">
        <v>105</v>
      </c>
      <c r="G42" t="s">
        <v>106</v>
      </c>
      <c r="H42" s="6">
        <v>-3700000</v>
      </c>
      <c r="I42" t="s">
        <v>107</v>
      </c>
      <c r="J42">
        <v>1734622511</v>
      </c>
      <c r="K42">
        <v>551400</v>
      </c>
      <c r="L42" s="3">
        <v>45971</v>
      </c>
      <c r="M42">
        <v>1734624707</v>
      </c>
    </row>
    <row r="43" spans="1:13" x14ac:dyDescent="0.25">
      <c r="A43">
        <v>551400</v>
      </c>
      <c r="B43" t="s">
        <v>104</v>
      </c>
      <c r="C43" s="2">
        <v>45971</v>
      </c>
      <c r="D43" s="2">
        <v>45971</v>
      </c>
      <c r="E43" s="3">
        <v>45971</v>
      </c>
      <c r="F43" t="s">
        <v>105</v>
      </c>
      <c r="G43" t="s">
        <v>106</v>
      </c>
      <c r="H43" s="6">
        <v>-3700000</v>
      </c>
      <c r="I43" t="s">
        <v>107</v>
      </c>
      <c r="J43">
        <v>1734624639</v>
      </c>
      <c r="K43">
        <v>551400</v>
      </c>
      <c r="L43" s="3">
        <v>45971</v>
      </c>
      <c r="M43">
        <v>1734624707</v>
      </c>
    </row>
    <row r="44" spans="1:13" x14ac:dyDescent="0.25">
      <c r="A44">
        <v>551400</v>
      </c>
      <c r="B44" t="s">
        <v>104</v>
      </c>
      <c r="C44" s="2">
        <v>45973</v>
      </c>
      <c r="D44" s="2">
        <v>45973</v>
      </c>
      <c r="E44" s="3">
        <v>45973</v>
      </c>
      <c r="F44" t="s">
        <v>105</v>
      </c>
      <c r="G44" t="s">
        <v>106</v>
      </c>
      <c r="H44" s="6">
        <v>440000</v>
      </c>
      <c r="I44" t="s">
        <v>107</v>
      </c>
      <c r="J44">
        <v>1734624643</v>
      </c>
      <c r="K44">
        <v>551400</v>
      </c>
      <c r="L44" s="3">
        <v>45973</v>
      </c>
      <c r="M44">
        <v>1734624709</v>
      </c>
    </row>
    <row r="45" spans="1:13" x14ac:dyDescent="0.25">
      <c r="A45">
        <v>551400</v>
      </c>
      <c r="B45" t="s">
        <v>104</v>
      </c>
      <c r="C45" s="2">
        <v>45973</v>
      </c>
      <c r="D45" s="2">
        <v>45973</v>
      </c>
      <c r="E45" s="3">
        <v>45973</v>
      </c>
      <c r="F45" t="s">
        <v>105</v>
      </c>
      <c r="G45" t="s">
        <v>106</v>
      </c>
      <c r="H45" s="6">
        <v>440000</v>
      </c>
      <c r="I45" t="s">
        <v>107</v>
      </c>
      <c r="J45">
        <v>1734622519</v>
      </c>
      <c r="K45">
        <v>551400</v>
      </c>
      <c r="L45" s="3">
        <v>45973</v>
      </c>
      <c r="M45">
        <v>1734624709</v>
      </c>
    </row>
    <row r="46" spans="1:13" x14ac:dyDescent="0.25">
      <c r="A46">
        <v>551375</v>
      </c>
      <c r="B46" t="s">
        <v>104</v>
      </c>
      <c r="C46" s="2">
        <v>45966</v>
      </c>
      <c r="D46" s="2">
        <v>45966</v>
      </c>
      <c r="E46" s="3">
        <v>45966</v>
      </c>
      <c r="F46" t="s">
        <v>105</v>
      </c>
      <c r="G46" t="s">
        <v>106</v>
      </c>
      <c r="H46" s="6">
        <v>44500000</v>
      </c>
      <c r="I46" t="s">
        <v>107</v>
      </c>
      <c r="J46">
        <v>1734622496</v>
      </c>
      <c r="K46">
        <v>551375</v>
      </c>
      <c r="L46" s="3">
        <v>45966</v>
      </c>
      <c r="M46">
        <v>1734624632</v>
      </c>
    </row>
    <row r="47" spans="1:13" x14ac:dyDescent="0.25">
      <c r="A47">
        <v>551375</v>
      </c>
      <c r="B47" t="s">
        <v>104</v>
      </c>
      <c r="C47" s="2">
        <v>45966</v>
      </c>
      <c r="D47" s="2">
        <v>45966</v>
      </c>
      <c r="E47" s="3">
        <v>45966</v>
      </c>
      <c r="F47" t="s">
        <v>105</v>
      </c>
      <c r="G47" t="s">
        <v>106</v>
      </c>
      <c r="H47" s="6">
        <v>44500000</v>
      </c>
      <c r="I47" t="s">
        <v>107</v>
      </c>
      <c r="J47">
        <v>1734624704</v>
      </c>
      <c r="K47">
        <v>551375</v>
      </c>
      <c r="L47" s="3">
        <v>45966</v>
      </c>
      <c r="M47">
        <v>1734624632</v>
      </c>
    </row>
    <row r="48" spans="1:13" x14ac:dyDescent="0.25">
      <c r="A48">
        <v>551375</v>
      </c>
      <c r="B48" t="s">
        <v>104</v>
      </c>
      <c r="C48" s="2">
        <v>45971</v>
      </c>
      <c r="D48" s="2">
        <v>45971</v>
      </c>
      <c r="E48" s="3">
        <v>45971</v>
      </c>
      <c r="F48" t="s">
        <v>105</v>
      </c>
      <c r="G48" t="s">
        <v>106</v>
      </c>
      <c r="H48" s="6">
        <v>2000000</v>
      </c>
      <c r="I48" t="s">
        <v>107</v>
      </c>
      <c r="J48">
        <v>1734624706</v>
      </c>
      <c r="K48">
        <v>551375</v>
      </c>
      <c r="L48" s="3">
        <v>45971</v>
      </c>
      <c r="M48">
        <v>1734624636</v>
      </c>
    </row>
    <row r="49" spans="1:13" x14ac:dyDescent="0.25">
      <c r="A49">
        <v>551375</v>
      </c>
      <c r="B49" t="s">
        <v>104</v>
      </c>
      <c r="C49" s="2">
        <v>45971</v>
      </c>
      <c r="D49" s="2">
        <v>45971</v>
      </c>
      <c r="E49" s="3">
        <v>45971</v>
      </c>
      <c r="F49" t="s">
        <v>105</v>
      </c>
      <c r="G49" t="s">
        <v>106</v>
      </c>
      <c r="H49" s="6">
        <v>2000000</v>
      </c>
      <c r="I49" t="s">
        <v>107</v>
      </c>
      <c r="J49">
        <v>1734622497</v>
      </c>
      <c r="K49">
        <v>551375</v>
      </c>
      <c r="L49" s="3">
        <v>45971</v>
      </c>
      <c r="M49">
        <v>1734624636</v>
      </c>
    </row>
    <row r="50" spans="1:13" x14ac:dyDescent="0.25">
      <c r="A50">
        <v>551375</v>
      </c>
      <c r="B50" t="s">
        <v>104</v>
      </c>
      <c r="C50" s="2">
        <v>45971</v>
      </c>
      <c r="D50" s="2">
        <v>45971</v>
      </c>
      <c r="E50" s="3">
        <v>45971</v>
      </c>
      <c r="F50" t="s">
        <v>105</v>
      </c>
      <c r="G50" t="s">
        <v>106</v>
      </c>
      <c r="H50" s="6">
        <v>3700000</v>
      </c>
      <c r="I50" t="s">
        <v>107</v>
      </c>
      <c r="J50">
        <v>1734624707</v>
      </c>
      <c r="K50">
        <v>551375</v>
      </c>
      <c r="L50" s="3">
        <v>45971</v>
      </c>
      <c r="M50">
        <v>1734624639</v>
      </c>
    </row>
    <row r="51" spans="1:13" x14ac:dyDescent="0.25">
      <c r="A51">
        <v>551375</v>
      </c>
      <c r="B51" t="s">
        <v>104</v>
      </c>
      <c r="C51" s="2">
        <v>45971</v>
      </c>
      <c r="D51" s="2">
        <v>45971</v>
      </c>
      <c r="E51" s="3">
        <v>45971</v>
      </c>
      <c r="F51" t="s">
        <v>105</v>
      </c>
      <c r="G51" t="s">
        <v>106</v>
      </c>
      <c r="H51" s="6">
        <v>3700000</v>
      </c>
      <c r="I51" t="s">
        <v>107</v>
      </c>
      <c r="J51">
        <v>1734622498</v>
      </c>
      <c r="K51">
        <v>551375</v>
      </c>
      <c r="L51" s="3">
        <v>45971</v>
      </c>
      <c r="M51">
        <v>1734624639</v>
      </c>
    </row>
    <row r="52" spans="1:13" x14ac:dyDescent="0.25">
      <c r="A52">
        <v>551375</v>
      </c>
      <c r="B52" t="s">
        <v>104</v>
      </c>
      <c r="C52" s="2">
        <v>45973</v>
      </c>
      <c r="D52" s="2">
        <v>45973</v>
      </c>
      <c r="E52" s="3">
        <v>45973</v>
      </c>
      <c r="F52" t="s">
        <v>105</v>
      </c>
      <c r="G52" t="s">
        <v>106</v>
      </c>
      <c r="H52" s="6">
        <v>-440000</v>
      </c>
      <c r="I52" t="s">
        <v>107</v>
      </c>
      <c r="J52">
        <v>1734622499</v>
      </c>
      <c r="K52">
        <v>551375</v>
      </c>
      <c r="L52" s="3">
        <v>45973</v>
      </c>
      <c r="M52">
        <v>1734624643</v>
      </c>
    </row>
    <row r="53" spans="1:13" x14ac:dyDescent="0.25">
      <c r="A53">
        <v>551375</v>
      </c>
      <c r="B53" t="s">
        <v>104</v>
      </c>
      <c r="C53" s="2">
        <v>45973</v>
      </c>
      <c r="D53" s="2">
        <v>45973</v>
      </c>
      <c r="E53" s="3">
        <v>45973</v>
      </c>
      <c r="F53" t="s">
        <v>105</v>
      </c>
      <c r="G53" t="s">
        <v>106</v>
      </c>
      <c r="H53" s="6">
        <v>-440000</v>
      </c>
      <c r="I53" t="s">
        <v>107</v>
      </c>
      <c r="J53">
        <v>1734624709</v>
      </c>
      <c r="K53">
        <v>551375</v>
      </c>
      <c r="L53" s="3">
        <v>45973</v>
      </c>
      <c r="M53">
        <v>1734624643</v>
      </c>
    </row>
    <row r="54" spans="1:13" x14ac:dyDescent="0.25">
      <c r="A54">
        <v>551404</v>
      </c>
      <c r="B54" t="s">
        <v>104</v>
      </c>
      <c r="C54" s="2">
        <v>45966</v>
      </c>
      <c r="D54" s="2">
        <v>45966</v>
      </c>
      <c r="E54" s="3">
        <v>45966</v>
      </c>
      <c r="F54" t="s">
        <v>105</v>
      </c>
      <c r="G54" t="s">
        <v>106</v>
      </c>
      <c r="H54" s="6">
        <v>-44055000</v>
      </c>
      <c r="I54" t="s">
        <v>107</v>
      </c>
      <c r="J54">
        <v>1734624710</v>
      </c>
      <c r="K54">
        <v>551404</v>
      </c>
      <c r="L54" s="3">
        <v>45966</v>
      </c>
      <c r="M54">
        <v>1734624630</v>
      </c>
    </row>
    <row r="55" spans="1:13" x14ac:dyDescent="0.25">
      <c r="A55">
        <v>551404</v>
      </c>
      <c r="B55" t="s">
        <v>104</v>
      </c>
      <c r="C55" s="2">
        <v>45966</v>
      </c>
      <c r="D55" s="2">
        <v>45966</v>
      </c>
      <c r="E55" s="3">
        <v>45966</v>
      </c>
      <c r="F55" t="s">
        <v>105</v>
      </c>
      <c r="G55" t="s">
        <v>106</v>
      </c>
      <c r="H55" s="6">
        <v>-44055000</v>
      </c>
      <c r="I55" t="s">
        <v>107</v>
      </c>
      <c r="J55">
        <v>1734622538</v>
      </c>
      <c r="K55">
        <v>551404</v>
      </c>
      <c r="L55" s="3">
        <v>45966</v>
      </c>
      <c r="M55">
        <v>1734624630</v>
      </c>
    </row>
    <row r="56" spans="1:13" x14ac:dyDescent="0.25">
      <c r="A56">
        <v>551404</v>
      </c>
      <c r="B56" t="s">
        <v>104</v>
      </c>
      <c r="C56" s="2">
        <v>45971</v>
      </c>
      <c r="D56" s="2">
        <v>45971</v>
      </c>
      <c r="E56" s="3">
        <v>45971</v>
      </c>
      <c r="F56" t="s">
        <v>105</v>
      </c>
      <c r="G56" t="s">
        <v>106</v>
      </c>
      <c r="H56" s="6">
        <v>-1980000</v>
      </c>
      <c r="I56" t="s">
        <v>107</v>
      </c>
      <c r="J56">
        <v>1734622550</v>
      </c>
      <c r="K56">
        <v>551404</v>
      </c>
      <c r="L56" s="3">
        <v>45971</v>
      </c>
      <c r="M56">
        <v>1734624631</v>
      </c>
    </row>
    <row r="57" spans="1:13" x14ac:dyDescent="0.25">
      <c r="A57">
        <v>551404</v>
      </c>
      <c r="B57" t="s">
        <v>104</v>
      </c>
      <c r="C57" s="2">
        <v>45971</v>
      </c>
      <c r="D57" s="2">
        <v>45971</v>
      </c>
      <c r="E57" s="3">
        <v>45971</v>
      </c>
      <c r="F57" t="s">
        <v>105</v>
      </c>
      <c r="G57" t="s">
        <v>106</v>
      </c>
      <c r="H57" s="6">
        <v>-1980000</v>
      </c>
      <c r="I57" t="s">
        <v>107</v>
      </c>
      <c r="J57">
        <v>1734624714</v>
      </c>
      <c r="K57">
        <v>551404</v>
      </c>
      <c r="L57" s="3">
        <v>45971</v>
      </c>
      <c r="M57">
        <v>1734624631</v>
      </c>
    </row>
    <row r="58" spans="1:13" x14ac:dyDescent="0.25">
      <c r="A58">
        <v>551404</v>
      </c>
      <c r="B58" t="s">
        <v>104</v>
      </c>
      <c r="C58" s="2">
        <v>45971</v>
      </c>
      <c r="D58" s="2">
        <v>45971</v>
      </c>
      <c r="E58" s="3">
        <v>45971</v>
      </c>
      <c r="F58" t="s">
        <v>105</v>
      </c>
      <c r="G58" t="s">
        <v>106</v>
      </c>
      <c r="H58" s="6">
        <v>-3663000</v>
      </c>
      <c r="I58" t="s">
        <v>107</v>
      </c>
      <c r="J58">
        <v>1734622555</v>
      </c>
      <c r="K58">
        <v>551404</v>
      </c>
      <c r="L58" s="3">
        <v>45971</v>
      </c>
      <c r="M58">
        <v>1734624637</v>
      </c>
    </row>
    <row r="59" spans="1:13" x14ac:dyDescent="0.25">
      <c r="A59">
        <v>551404</v>
      </c>
      <c r="B59" t="s">
        <v>104</v>
      </c>
      <c r="C59" s="2">
        <v>45971</v>
      </c>
      <c r="D59" s="2">
        <v>45971</v>
      </c>
      <c r="E59" s="3">
        <v>45971</v>
      </c>
      <c r="F59" t="s">
        <v>105</v>
      </c>
      <c r="G59" t="s">
        <v>106</v>
      </c>
      <c r="H59" s="6">
        <v>-3663000</v>
      </c>
      <c r="I59" t="s">
        <v>107</v>
      </c>
      <c r="J59">
        <v>1734624717</v>
      </c>
      <c r="K59">
        <v>551404</v>
      </c>
      <c r="L59" s="3">
        <v>45971</v>
      </c>
      <c r="M59">
        <v>1734624637</v>
      </c>
    </row>
    <row r="60" spans="1:13" x14ac:dyDescent="0.25">
      <c r="A60">
        <v>551400</v>
      </c>
      <c r="B60" t="s">
        <v>104</v>
      </c>
      <c r="C60" s="2">
        <v>45966</v>
      </c>
      <c r="D60" s="2">
        <v>45966</v>
      </c>
      <c r="E60" s="3">
        <v>45966</v>
      </c>
      <c r="F60" t="s">
        <v>105</v>
      </c>
      <c r="G60" t="s">
        <v>106</v>
      </c>
      <c r="H60" s="6">
        <v>44055000</v>
      </c>
      <c r="I60" t="s">
        <v>107</v>
      </c>
      <c r="J60">
        <v>1734624630</v>
      </c>
      <c r="K60">
        <v>551400</v>
      </c>
      <c r="L60" s="3">
        <v>45966</v>
      </c>
      <c r="M60">
        <v>1734624710</v>
      </c>
    </row>
    <row r="61" spans="1:13" x14ac:dyDescent="0.25">
      <c r="A61">
        <v>551400</v>
      </c>
      <c r="B61" t="s">
        <v>104</v>
      </c>
      <c r="C61" s="2">
        <v>45966</v>
      </c>
      <c r="D61" s="2">
        <v>45966</v>
      </c>
      <c r="E61" s="3">
        <v>45966</v>
      </c>
      <c r="F61" t="s">
        <v>105</v>
      </c>
      <c r="G61" t="s">
        <v>106</v>
      </c>
      <c r="H61" s="6">
        <v>44055000</v>
      </c>
      <c r="I61" t="s">
        <v>107</v>
      </c>
      <c r="J61">
        <v>1734622504</v>
      </c>
      <c r="K61">
        <v>551400</v>
      </c>
      <c r="L61" s="3">
        <v>45966</v>
      </c>
      <c r="M61">
        <v>1734624710</v>
      </c>
    </row>
    <row r="62" spans="1:13" x14ac:dyDescent="0.25">
      <c r="A62">
        <v>551400</v>
      </c>
      <c r="B62" t="s">
        <v>104</v>
      </c>
      <c r="C62" s="2">
        <v>45966</v>
      </c>
      <c r="D62" s="2">
        <v>45966</v>
      </c>
      <c r="E62" s="3">
        <v>45966</v>
      </c>
      <c r="F62" t="s">
        <v>105</v>
      </c>
      <c r="G62" t="s">
        <v>106</v>
      </c>
      <c r="H62" s="6">
        <v>445000</v>
      </c>
      <c r="I62" t="s">
        <v>107</v>
      </c>
      <c r="J62">
        <v>1734624671</v>
      </c>
      <c r="K62">
        <v>551400</v>
      </c>
      <c r="L62" s="3">
        <v>45966</v>
      </c>
      <c r="M62">
        <v>1734624713</v>
      </c>
    </row>
    <row r="63" spans="1:13" x14ac:dyDescent="0.25">
      <c r="A63">
        <v>551400</v>
      </c>
      <c r="B63" t="s">
        <v>104</v>
      </c>
      <c r="C63" s="2">
        <v>45966</v>
      </c>
      <c r="D63" s="2">
        <v>45966</v>
      </c>
      <c r="E63" s="3">
        <v>45966</v>
      </c>
      <c r="F63" t="s">
        <v>105</v>
      </c>
      <c r="G63" t="s">
        <v>106</v>
      </c>
      <c r="H63" s="6">
        <v>445000</v>
      </c>
      <c r="I63" t="s">
        <v>107</v>
      </c>
      <c r="J63">
        <v>1734622502</v>
      </c>
      <c r="K63">
        <v>551400</v>
      </c>
      <c r="L63" s="3">
        <v>45966</v>
      </c>
      <c r="M63">
        <v>1734624713</v>
      </c>
    </row>
    <row r="64" spans="1:13" x14ac:dyDescent="0.25">
      <c r="A64">
        <v>551400</v>
      </c>
      <c r="B64" t="s">
        <v>104</v>
      </c>
      <c r="C64" s="2">
        <v>45971</v>
      </c>
      <c r="D64" s="2">
        <v>45971</v>
      </c>
      <c r="E64" s="3">
        <v>45971</v>
      </c>
      <c r="F64" t="s">
        <v>105</v>
      </c>
      <c r="G64" t="s">
        <v>106</v>
      </c>
      <c r="H64" s="6">
        <v>1980000</v>
      </c>
      <c r="I64" t="s">
        <v>107</v>
      </c>
      <c r="J64">
        <v>1734622515</v>
      </c>
      <c r="K64">
        <v>551400</v>
      </c>
      <c r="L64" s="3">
        <v>45971</v>
      </c>
      <c r="M64">
        <v>1734624714</v>
      </c>
    </row>
    <row r="65" spans="1:13" x14ac:dyDescent="0.25">
      <c r="A65">
        <v>551400</v>
      </c>
      <c r="B65" t="s">
        <v>104</v>
      </c>
      <c r="C65" s="2">
        <v>45971</v>
      </c>
      <c r="D65" s="2">
        <v>45971</v>
      </c>
      <c r="E65" s="3">
        <v>45971</v>
      </c>
      <c r="F65" t="s">
        <v>105</v>
      </c>
      <c r="G65" t="s">
        <v>106</v>
      </c>
      <c r="H65" s="6">
        <v>1980000</v>
      </c>
      <c r="I65" t="s">
        <v>107</v>
      </c>
      <c r="J65">
        <v>1734624631</v>
      </c>
      <c r="K65">
        <v>551400</v>
      </c>
      <c r="L65" s="3">
        <v>45971</v>
      </c>
      <c r="M65">
        <v>1734624714</v>
      </c>
    </row>
    <row r="66" spans="1:13" x14ac:dyDescent="0.25">
      <c r="A66">
        <v>551400</v>
      </c>
      <c r="B66" t="s">
        <v>104</v>
      </c>
      <c r="C66" s="2">
        <v>45971</v>
      </c>
      <c r="D66" s="2">
        <v>45971</v>
      </c>
      <c r="E66" s="3">
        <v>45971</v>
      </c>
      <c r="F66" t="s">
        <v>105</v>
      </c>
      <c r="G66" t="s">
        <v>106</v>
      </c>
      <c r="H66" s="6">
        <v>20000</v>
      </c>
      <c r="I66" t="s">
        <v>107</v>
      </c>
      <c r="J66">
        <v>1734622508</v>
      </c>
      <c r="K66">
        <v>551400</v>
      </c>
      <c r="L66" s="3">
        <v>45971</v>
      </c>
      <c r="M66">
        <v>1734624715</v>
      </c>
    </row>
    <row r="67" spans="1:13" x14ac:dyDescent="0.25">
      <c r="A67">
        <v>551400</v>
      </c>
      <c r="B67" t="s">
        <v>104</v>
      </c>
      <c r="C67" s="2">
        <v>45971</v>
      </c>
      <c r="D67" s="2">
        <v>45971</v>
      </c>
      <c r="E67" s="3">
        <v>45971</v>
      </c>
      <c r="F67" t="s">
        <v>105</v>
      </c>
      <c r="G67" t="s">
        <v>106</v>
      </c>
      <c r="H67" s="6">
        <v>20000</v>
      </c>
      <c r="I67" t="s">
        <v>107</v>
      </c>
      <c r="J67">
        <v>1734624674</v>
      </c>
      <c r="K67">
        <v>551400</v>
      </c>
      <c r="L67" s="3">
        <v>45971</v>
      </c>
      <c r="M67">
        <v>1734624715</v>
      </c>
    </row>
    <row r="68" spans="1:13" x14ac:dyDescent="0.25">
      <c r="A68">
        <v>551400</v>
      </c>
      <c r="B68" t="s">
        <v>104</v>
      </c>
      <c r="C68" s="2">
        <v>45971</v>
      </c>
      <c r="D68" s="2">
        <v>45971</v>
      </c>
      <c r="E68" s="3">
        <v>45971</v>
      </c>
      <c r="F68" t="s">
        <v>105</v>
      </c>
      <c r="G68" t="s">
        <v>106</v>
      </c>
      <c r="H68" s="6">
        <v>3663000</v>
      </c>
      <c r="I68" t="s">
        <v>107</v>
      </c>
      <c r="J68">
        <v>1734622516</v>
      </c>
      <c r="K68">
        <v>551400</v>
      </c>
      <c r="L68" s="3">
        <v>45971</v>
      </c>
      <c r="M68">
        <v>1734624717</v>
      </c>
    </row>
    <row r="69" spans="1:13" x14ac:dyDescent="0.25">
      <c r="A69">
        <v>551400</v>
      </c>
      <c r="B69" t="s">
        <v>104</v>
      </c>
      <c r="C69" s="2">
        <v>45971</v>
      </c>
      <c r="D69" s="2">
        <v>45971</v>
      </c>
      <c r="E69" s="3">
        <v>45971</v>
      </c>
      <c r="F69" t="s">
        <v>105</v>
      </c>
      <c r="G69" t="s">
        <v>106</v>
      </c>
      <c r="H69" s="6">
        <v>3663000</v>
      </c>
      <c r="I69" t="s">
        <v>107</v>
      </c>
      <c r="J69">
        <v>1734624637</v>
      </c>
      <c r="K69">
        <v>551400</v>
      </c>
      <c r="L69" s="3">
        <v>45971</v>
      </c>
      <c r="M69">
        <v>1734624717</v>
      </c>
    </row>
    <row r="70" spans="1:13" x14ac:dyDescent="0.25">
      <c r="A70">
        <v>551400</v>
      </c>
      <c r="B70" t="s">
        <v>104</v>
      </c>
      <c r="C70" s="2">
        <v>45971</v>
      </c>
      <c r="D70" s="2">
        <v>45971</v>
      </c>
      <c r="E70" s="3">
        <v>45971</v>
      </c>
      <c r="F70" t="s">
        <v>105</v>
      </c>
      <c r="G70" t="s">
        <v>106</v>
      </c>
      <c r="H70" s="6">
        <v>37000</v>
      </c>
      <c r="I70" t="s">
        <v>107</v>
      </c>
      <c r="J70">
        <v>1734622513</v>
      </c>
      <c r="K70">
        <v>551400</v>
      </c>
      <c r="L70" s="3">
        <v>45971</v>
      </c>
      <c r="M70">
        <v>1734624718</v>
      </c>
    </row>
    <row r="71" spans="1:13" x14ac:dyDescent="0.25">
      <c r="A71">
        <v>551400</v>
      </c>
      <c r="B71" t="s">
        <v>104</v>
      </c>
      <c r="C71" s="2">
        <v>45971</v>
      </c>
      <c r="D71" s="2">
        <v>45971</v>
      </c>
      <c r="E71" s="3">
        <v>45971</v>
      </c>
      <c r="F71" t="s">
        <v>105</v>
      </c>
      <c r="G71" t="s">
        <v>106</v>
      </c>
      <c r="H71" s="6">
        <v>37000</v>
      </c>
      <c r="I71" t="s">
        <v>107</v>
      </c>
      <c r="J71">
        <v>1734624675</v>
      </c>
      <c r="K71">
        <v>551400</v>
      </c>
      <c r="L71" s="3">
        <v>45971</v>
      </c>
      <c r="M71">
        <v>1734624718</v>
      </c>
    </row>
    <row r="72" spans="1:13" x14ac:dyDescent="0.25">
      <c r="A72">
        <v>551374</v>
      </c>
      <c r="B72" t="s">
        <v>104</v>
      </c>
      <c r="C72" s="2">
        <v>45966</v>
      </c>
      <c r="D72" s="2">
        <v>45966</v>
      </c>
      <c r="E72" s="3">
        <v>45966</v>
      </c>
      <c r="F72" t="s">
        <v>105</v>
      </c>
      <c r="G72" t="s">
        <v>106</v>
      </c>
      <c r="H72" s="6">
        <v>-445000</v>
      </c>
      <c r="I72" t="s">
        <v>107</v>
      </c>
      <c r="J72">
        <v>1734624713</v>
      </c>
      <c r="K72">
        <v>551374</v>
      </c>
      <c r="L72" s="3">
        <v>45966</v>
      </c>
      <c r="M72">
        <v>1734624671</v>
      </c>
    </row>
    <row r="73" spans="1:13" x14ac:dyDescent="0.25">
      <c r="A73">
        <v>551374</v>
      </c>
      <c r="B73" t="s">
        <v>104</v>
      </c>
      <c r="C73" s="2">
        <v>45966</v>
      </c>
      <c r="D73" s="2">
        <v>45966</v>
      </c>
      <c r="E73" s="3">
        <v>45966</v>
      </c>
      <c r="F73" t="s">
        <v>105</v>
      </c>
      <c r="G73" t="s">
        <v>106</v>
      </c>
      <c r="H73" s="6">
        <v>-445000</v>
      </c>
      <c r="I73" t="s">
        <v>107</v>
      </c>
      <c r="J73">
        <v>1734622505</v>
      </c>
      <c r="K73">
        <v>551374</v>
      </c>
      <c r="L73" s="3">
        <v>45966</v>
      </c>
      <c r="M73">
        <v>1734624671</v>
      </c>
    </row>
    <row r="74" spans="1:13" x14ac:dyDescent="0.25">
      <c r="A74">
        <v>551374</v>
      </c>
      <c r="B74" t="s">
        <v>104</v>
      </c>
      <c r="C74" s="2">
        <v>45971</v>
      </c>
      <c r="D74" s="2">
        <v>45971</v>
      </c>
      <c r="E74" s="3">
        <v>45971</v>
      </c>
      <c r="F74" t="s">
        <v>105</v>
      </c>
      <c r="G74" t="s">
        <v>106</v>
      </c>
      <c r="H74" s="6">
        <v>-20000</v>
      </c>
      <c r="I74" t="s">
        <v>107</v>
      </c>
      <c r="J74">
        <v>1734622517</v>
      </c>
      <c r="K74">
        <v>551374</v>
      </c>
      <c r="L74" s="3">
        <v>45971</v>
      </c>
      <c r="M74">
        <v>1734624674</v>
      </c>
    </row>
    <row r="75" spans="1:13" x14ac:dyDescent="0.25">
      <c r="A75">
        <v>551374</v>
      </c>
      <c r="B75" t="s">
        <v>104</v>
      </c>
      <c r="C75" s="2">
        <v>45971</v>
      </c>
      <c r="D75" s="2">
        <v>45971</v>
      </c>
      <c r="E75" s="3">
        <v>45971</v>
      </c>
      <c r="F75" t="s">
        <v>105</v>
      </c>
      <c r="G75" t="s">
        <v>106</v>
      </c>
      <c r="H75" s="6">
        <v>-20000</v>
      </c>
      <c r="I75" t="s">
        <v>107</v>
      </c>
      <c r="J75">
        <v>1734624715</v>
      </c>
      <c r="K75">
        <v>551374</v>
      </c>
      <c r="L75" s="3">
        <v>45971</v>
      </c>
      <c r="M75">
        <v>1734624674</v>
      </c>
    </row>
    <row r="76" spans="1:13" x14ac:dyDescent="0.25">
      <c r="A76">
        <v>551374</v>
      </c>
      <c r="B76" t="s">
        <v>104</v>
      </c>
      <c r="C76" s="2">
        <v>45971</v>
      </c>
      <c r="D76" s="2">
        <v>45971</v>
      </c>
      <c r="E76" s="3">
        <v>45971</v>
      </c>
      <c r="F76" t="s">
        <v>105</v>
      </c>
      <c r="G76" t="s">
        <v>106</v>
      </c>
      <c r="H76" s="6">
        <v>-37000</v>
      </c>
      <c r="I76" t="s">
        <v>107</v>
      </c>
      <c r="J76">
        <v>1734622521</v>
      </c>
      <c r="K76">
        <v>551374</v>
      </c>
      <c r="L76" s="3">
        <v>45971</v>
      </c>
      <c r="M76">
        <v>1734624675</v>
      </c>
    </row>
    <row r="77" spans="1:13" x14ac:dyDescent="0.25">
      <c r="A77">
        <v>551374</v>
      </c>
      <c r="B77" t="s">
        <v>104</v>
      </c>
      <c r="C77" s="2">
        <v>45971</v>
      </c>
      <c r="D77" s="2">
        <v>45971</v>
      </c>
      <c r="E77" s="3">
        <v>45971</v>
      </c>
      <c r="F77" t="s">
        <v>105</v>
      </c>
      <c r="G77" t="s">
        <v>106</v>
      </c>
      <c r="H77" s="6">
        <v>-37000</v>
      </c>
      <c r="I77" t="s">
        <v>107</v>
      </c>
      <c r="J77">
        <v>1734624718</v>
      </c>
      <c r="K77">
        <v>551374</v>
      </c>
      <c r="L77" s="3">
        <v>45971</v>
      </c>
      <c r="M77">
        <v>1734624675</v>
      </c>
    </row>
    <row r="78" spans="1:13" x14ac:dyDescent="0.25">
      <c r="A78">
        <v>551374</v>
      </c>
      <c r="B78" t="s">
        <v>104</v>
      </c>
      <c r="C78" s="2">
        <v>45971</v>
      </c>
      <c r="D78" s="2">
        <v>45971</v>
      </c>
      <c r="E78" s="3">
        <v>45971</v>
      </c>
      <c r="F78" t="s">
        <v>105</v>
      </c>
      <c r="G78" t="s">
        <v>106</v>
      </c>
      <c r="H78" s="6">
        <v>585496.6</v>
      </c>
      <c r="I78" t="s">
        <v>107</v>
      </c>
      <c r="J78">
        <v>1709649674</v>
      </c>
      <c r="K78">
        <v>551374</v>
      </c>
      <c r="L78" s="3">
        <v>45971</v>
      </c>
      <c r="M78">
        <v>1734624678</v>
      </c>
    </row>
    <row r="79" spans="1:13" x14ac:dyDescent="0.25">
      <c r="A79">
        <v>551374</v>
      </c>
      <c r="B79" t="s">
        <v>104</v>
      </c>
      <c r="C79" s="2">
        <v>45986</v>
      </c>
      <c r="D79" s="2">
        <v>45986</v>
      </c>
      <c r="E79" s="3">
        <v>45986</v>
      </c>
      <c r="F79" t="s">
        <v>105</v>
      </c>
      <c r="G79" t="s">
        <v>106</v>
      </c>
      <c r="H79" s="6">
        <v>585522.43000000005</v>
      </c>
      <c r="I79" t="s">
        <v>107</v>
      </c>
      <c r="J79">
        <v>1721859834</v>
      </c>
      <c r="K79">
        <v>551374</v>
      </c>
      <c r="L79" s="3">
        <v>45986</v>
      </c>
      <c r="M79">
        <v>1734624681</v>
      </c>
    </row>
    <row r="80" spans="1:13" x14ac:dyDescent="0.25">
      <c r="A80">
        <v>551402</v>
      </c>
      <c r="B80" t="s">
        <v>104</v>
      </c>
      <c r="C80" s="2">
        <v>45989</v>
      </c>
      <c r="D80" s="2">
        <v>45989</v>
      </c>
      <c r="E80" s="3">
        <v>45989</v>
      </c>
      <c r="F80" t="s">
        <v>105</v>
      </c>
      <c r="G80" t="s">
        <v>106</v>
      </c>
      <c r="H80" s="6">
        <v>8333.33</v>
      </c>
      <c r="I80" t="s">
        <v>107</v>
      </c>
      <c r="J80">
        <v>1725337590</v>
      </c>
      <c r="K80">
        <v>551402</v>
      </c>
      <c r="L80" s="3">
        <v>45989</v>
      </c>
      <c r="M80">
        <v>1734624672</v>
      </c>
    </row>
    <row r="81" spans="1:13" x14ac:dyDescent="0.25">
      <c r="A81">
        <v>551402</v>
      </c>
      <c r="B81" t="s">
        <v>104</v>
      </c>
      <c r="C81" s="2">
        <v>45989</v>
      </c>
      <c r="D81" s="2">
        <v>45989</v>
      </c>
      <c r="E81" s="3">
        <v>45989</v>
      </c>
      <c r="F81" t="s">
        <v>105</v>
      </c>
      <c r="G81" t="s">
        <v>106</v>
      </c>
      <c r="H81" s="6">
        <v>8333.33</v>
      </c>
      <c r="I81" t="s">
        <v>107</v>
      </c>
      <c r="J81">
        <v>1725337590</v>
      </c>
      <c r="K81">
        <v>551402</v>
      </c>
      <c r="L81" s="3">
        <v>45989</v>
      </c>
      <c r="M81">
        <v>1734624657</v>
      </c>
    </row>
    <row r="82" spans="1:13" x14ac:dyDescent="0.25">
      <c r="A82">
        <v>551402</v>
      </c>
      <c r="B82" t="s">
        <v>104</v>
      </c>
      <c r="C82" s="2">
        <v>45989</v>
      </c>
      <c r="D82" s="2">
        <v>45989</v>
      </c>
      <c r="E82" s="3">
        <v>45989</v>
      </c>
      <c r="F82" t="s">
        <v>105</v>
      </c>
      <c r="G82" t="s">
        <v>106</v>
      </c>
      <c r="H82" s="6">
        <v>8333.33</v>
      </c>
      <c r="I82" t="s">
        <v>107</v>
      </c>
      <c r="J82">
        <v>1725337590</v>
      </c>
      <c r="K82">
        <v>551402</v>
      </c>
      <c r="L82" s="3">
        <v>45989</v>
      </c>
      <c r="M82">
        <v>1734624670</v>
      </c>
    </row>
    <row r="83" spans="1:13" x14ac:dyDescent="0.25">
      <c r="A83">
        <v>551402</v>
      </c>
      <c r="B83" t="s">
        <v>104</v>
      </c>
      <c r="C83" s="2">
        <v>45989</v>
      </c>
      <c r="D83" s="2">
        <v>45989</v>
      </c>
      <c r="E83" s="3">
        <v>45989</v>
      </c>
      <c r="F83" t="s">
        <v>105</v>
      </c>
      <c r="G83" t="s">
        <v>106</v>
      </c>
      <c r="H83" s="6">
        <v>8333.33</v>
      </c>
      <c r="I83" t="s">
        <v>107</v>
      </c>
      <c r="J83">
        <v>1725337590</v>
      </c>
      <c r="K83">
        <v>551402</v>
      </c>
      <c r="L83" s="3">
        <v>45989</v>
      </c>
      <c r="M83">
        <v>1734624654</v>
      </c>
    </row>
    <row r="84" spans="1:13" x14ac:dyDescent="0.25">
      <c r="A84">
        <v>551402</v>
      </c>
      <c r="B84" t="s">
        <v>104</v>
      </c>
      <c r="C84" s="2">
        <v>45989</v>
      </c>
      <c r="D84" s="2">
        <v>45989</v>
      </c>
      <c r="E84" s="3">
        <v>45989</v>
      </c>
      <c r="F84" t="s">
        <v>105</v>
      </c>
      <c r="G84" t="s">
        <v>106</v>
      </c>
      <c r="H84" s="6">
        <v>8333.33</v>
      </c>
      <c r="I84" t="s">
        <v>107</v>
      </c>
      <c r="J84">
        <v>1725337590</v>
      </c>
      <c r="K84">
        <v>551402</v>
      </c>
      <c r="L84" s="3">
        <v>45989</v>
      </c>
      <c r="M84">
        <v>1734624677</v>
      </c>
    </row>
    <row r="85" spans="1:13" x14ac:dyDescent="0.25">
      <c r="A85">
        <v>551402</v>
      </c>
      <c r="B85" t="s">
        <v>104</v>
      </c>
      <c r="C85" s="2">
        <v>45989</v>
      </c>
      <c r="D85" s="2">
        <v>45989</v>
      </c>
      <c r="E85" s="3">
        <v>45989</v>
      </c>
      <c r="F85" t="s">
        <v>105</v>
      </c>
      <c r="G85" t="s">
        <v>106</v>
      </c>
      <c r="H85" s="6">
        <v>8333.33</v>
      </c>
      <c r="I85" t="s">
        <v>107</v>
      </c>
      <c r="J85">
        <v>1725337590</v>
      </c>
      <c r="K85">
        <v>551402</v>
      </c>
      <c r="L85" s="3">
        <v>45989</v>
      </c>
      <c r="M85">
        <v>1734624663</v>
      </c>
    </row>
    <row r="86" spans="1:13" x14ac:dyDescent="0.25">
      <c r="A86">
        <v>551402</v>
      </c>
      <c r="B86" t="s">
        <v>104</v>
      </c>
      <c r="C86" s="2">
        <v>45989</v>
      </c>
      <c r="D86" s="2">
        <v>45989</v>
      </c>
      <c r="E86" s="3">
        <v>45989</v>
      </c>
      <c r="F86" t="s">
        <v>105</v>
      </c>
      <c r="G86" t="s">
        <v>106</v>
      </c>
      <c r="H86" s="6">
        <v>8333.33</v>
      </c>
      <c r="I86" t="s">
        <v>107</v>
      </c>
      <c r="J86">
        <v>1725337590</v>
      </c>
      <c r="K86">
        <v>551402</v>
      </c>
      <c r="L86" s="3">
        <v>45989</v>
      </c>
      <c r="M86">
        <v>1734624660</v>
      </c>
    </row>
    <row r="87" spans="1:13" x14ac:dyDescent="0.25">
      <c r="A87">
        <v>551402</v>
      </c>
      <c r="B87" t="s">
        <v>104</v>
      </c>
      <c r="C87" s="2">
        <v>45989</v>
      </c>
      <c r="D87" s="2">
        <v>45989</v>
      </c>
      <c r="E87" s="3">
        <v>45989</v>
      </c>
      <c r="F87" t="s">
        <v>105</v>
      </c>
      <c r="G87" t="s">
        <v>106</v>
      </c>
      <c r="H87" s="6">
        <v>8333.33</v>
      </c>
      <c r="I87" t="s">
        <v>107</v>
      </c>
      <c r="J87">
        <v>1725337590</v>
      </c>
      <c r="K87">
        <v>551402</v>
      </c>
      <c r="L87" s="3">
        <v>45989</v>
      </c>
      <c r="M87">
        <v>1734624667</v>
      </c>
    </row>
    <row r="88" spans="1:13" x14ac:dyDescent="0.25">
      <c r="A88">
        <v>551402</v>
      </c>
      <c r="B88" t="s">
        <v>104</v>
      </c>
      <c r="C88" s="2">
        <v>45989</v>
      </c>
      <c r="D88" s="2">
        <v>45989</v>
      </c>
      <c r="E88" s="3">
        <v>45989</v>
      </c>
      <c r="F88" t="s">
        <v>105</v>
      </c>
      <c r="G88" t="s">
        <v>106</v>
      </c>
      <c r="H88" s="6">
        <v>8333.33</v>
      </c>
      <c r="I88" t="s">
        <v>107</v>
      </c>
      <c r="J88">
        <v>1725337588</v>
      </c>
      <c r="K88">
        <v>551402</v>
      </c>
      <c r="L88" s="3">
        <v>45989</v>
      </c>
      <c r="M88">
        <v>1734624672</v>
      </c>
    </row>
    <row r="89" spans="1:13" x14ac:dyDescent="0.25">
      <c r="A89">
        <v>551402</v>
      </c>
      <c r="B89" t="s">
        <v>104</v>
      </c>
      <c r="C89" s="2">
        <v>45989</v>
      </c>
      <c r="D89" s="2">
        <v>45989</v>
      </c>
      <c r="E89" s="3">
        <v>45989</v>
      </c>
      <c r="F89" t="s">
        <v>105</v>
      </c>
      <c r="G89" t="s">
        <v>106</v>
      </c>
      <c r="H89" s="6">
        <v>8333.33</v>
      </c>
      <c r="I89" t="s">
        <v>107</v>
      </c>
      <c r="J89">
        <v>1725337588</v>
      </c>
      <c r="K89">
        <v>551402</v>
      </c>
      <c r="L89" s="3">
        <v>45989</v>
      </c>
      <c r="M89">
        <v>1734624657</v>
      </c>
    </row>
    <row r="90" spans="1:13" x14ac:dyDescent="0.25">
      <c r="A90">
        <v>551402</v>
      </c>
      <c r="B90" t="s">
        <v>104</v>
      </c>
      <c r="C90" s="2">
        <v>45989</v>
      </c>
      <c r="D90" s="2">
        <v>45989</v>
      </c>
      <c r="E90" s="3">
        <v>45989</v>
      </c>
      <c r="F90" t="s">
        <v>105</v>
      </c>
      <c r="G90" t="s">
        <v>106</v>
      </c>
      <c r="H90" s="6">
        <v>8333.33</v>
      </c>
      <c r="I90" t="s">
        <v>107</v>
      </c>
      <c r="J90">
        <v>1725337588</v>
      </c>
      <c r="K90">
        <v>551402</v>
      </c>
      <c r="L90" s="3">
        <v>45989</v>
      </c>
      <c r="M90">
        <v>1734624670</v>
      </c>
    </row>
    <row r="91" spans="1:13" x14ac:dyDescent="0.25">
      <c r="A91">
        <v>551402</v>
      </c>
      <c r="B91" t="s">
        <v>104</v>
      </c>
      <c r="C91" s="2">
        <v>45989</v>
      </c>
      <c r="D91" s="2">
        <v>45989</v>
      </c>
      <c r="E91" s="3">
        <v>45989</v>
      </c>
      <c r="F91" t="s">
        <v>105</v>
      </c>
      <c r="G91" t="s">
        <v>106</v>
      </c>
      <c r="H91" s="6">
        <v>8333.33</v>
      </c>
      <c r="I91" t="s">
        <v>107</v>
      </c>
      <c r="J91">
        <v>1725337588</v>
      </c>
      <c r="K91">
        <v>551402</v>
      </c>
      <c r="L91" s="3">
        <v>45989</v>
      </c>
      <c r="M91">
        <v>1734624654</v>
      </c>
    </row>
    <row r="92" spans="1:13" x14ac:dyDescent="0.25">
      <c r="A92">
        <v>551402</v>
      </c>
      <c r="B92" t="s">
        <v>104</v>
      </c>
      <c r="C92" s="2">
        <v>45989</v>
      </c>
      <c r="D92" s="2">
        <v>45989</v>
      </c>
      <c r="E92" s="3">
        <v>45989</v>
      </c>
      <c r="F92" t="s">
        <v>105</v>
      </c>
      <c r="G92" t="s">
        <v>106</v>
      </c>
      <c r="H92" s="6">
        <v>8333.33</v>
      </c>
      <c r="I92" t="s">
        <v>107</v>
      </c>
      <c r="J92">
        <v>1725337588</v>
      </c>
      <c r="K92">
        <v>551402</v>
      </c>
      <c r="L92" s="3">
        <v>45989</v>
      </c>
      <c r="M92">
        <v>1734624677</v>
      </c>
    </row>
    <row r="93" spans="1:13" x14ac:dyDescent="0.25">
      <c r="A93">
        <v>551402</v>
      </c>
      <c r="B93" t="s">
        <v>104</v>
      </c>
      <c r="C93" s="2">
        <v>45989</v>
      </c>
      <c r="D93" s="2">
        <v>45989</v>
      </c>
      <c r="E93" s="3">
        <v>45989</v>
      </c>
      <c r="F93" t="s">
        <v>105</v>
      </c>
      <c r="G93" t="s">
        <v>106</v>
      </c>
      <c r="H93" s="6">
        <v>8333.33</v>
      </c>
      <c r="I93" t="s">
        <v>107</v>
      </c>
      <c r="J93">
        <v>1725337588</v>
      </c>
      <c r="K93">
        <v>551402</v>
      </c>
      <c r="L93" s="3">
        <v>45989</v>
      </c>
      <c r="M93">
        <v>1734624663</v>
      </c>
    </row>
    <row r="94" spans="1:13" x14ac:dyDescent="0.25">
      <c r="A94">
        <v>551402</v>
      </c>
      <c r="B94" t="s">
        <v>104</v>
      </c>
      <c r="C94" s="2">
        <v>45989</v>
      </c>
      <c r="D94" s="2">
        <v>45989</v>
      </c>
      <c r="E94" s="3">
        <v>45989</v>
      </c>
      <c r="F94" t="s">
        <v>105</v>
      </c>
      <c r="G94" t="s">
        <v>106</v>
      </c>
      <c r="H94" s="6">
        <v>8333.33</v>
      </c>
      <c r="I94" t="s">
        <v>107</v>
      </c>
      <c r="J94">
        <v>1725337588</v>
      </c>
      <c r="K94">
        <v>551402</v>
      </c>
      <c r="L94" s="3">
        <v>45989</v>
      </c>
      <c r="M94">
        <v>1734624660</v>
      </c>
    </row>
    <row r="95" spans="1:13" x14ac:dyDescent="0.25">
      <c r="A95">
        <v>551402</v>
      </c>
      <c r="B95" t="s">
        <v>104</v>
      </c>
      <c r="C95" s="2">
        <v>45989</v>
      </c>
      <c r="D95" s="2">
        <v>45989</v>
      </c>
      <c r="E95" s="3">
        <v>45989</v>
      </c>
      <c r="F95" t="s">
        <v>105</v>
      </c>
      <c r="G95" t="s">
        <v>106</v>
      </c>
      <c r="H95" s="6">
        <v>8333.33</v>
      </c>
      <c r="I95" t="s">
        <v>107</v>
      </c>
      <c r="J95">
        <v>1725337588</v>
      </c>
      <c r="K95">
        <v>551402</v>
      </c>
      <c r="L95" s="3">
        <v>45989</v>
      </c>
      <c r="M95">
        <v>1734624667</v>
      </c>
    </row>
    <row r="96" spans="1:13" x14ac:dyDescent="0.25">
      <c r="A96">
        <v>551402</v>
      </c>
      <c r="B96" t="s">
        <v>104</v>
      </c>
      <c r="C96" s="2">
        <v>45989</v>
      </c>
      <c r="D96" s="2">
        <v>45989</v>
      </c>
      <c r="E96" s="3">
        <v>45989</v>
      </c>
      <c r="F96" t="s">
        <v>105</v>
      </c>
      <c r="G96" t="s">
        <v>106</v>
      </c>
      <c r="H96" s="6">
        <v>8333.33</v>
      </c>
      <c r="I96" t="s">
        <v>107</v>
      </c>
      <c r="J96">
        <v>1725337590</v>
      </c>
      <c r="K96">
        <v>551402</v>
      </c>
      <c r="L96" s="3">
        <v>45989</v>
      </c>
      <c r="M96">
        <v>1734624672</v>
      </c>
    </row>
    <row r="97" spans="1:13" x14ac:dyDescent="0.25">
      <c r="A97">
        <v>551402</v>
      </c>
      <c r="B97" t="s">
        <v>104</v>
      </c>
      <c r="C97" s="2">
        <v>45989</v>
      </c>
      <c r="D97" s="2">
        <v>45989</v>
      </c>
      <c r="E97" s="3">
        <v>45989</v>
      </c>
      <c r="F97" t="s">
        <v>105</v>
      </c>
      <c r="G97" t="s">
        <v>106</v>
      </c>
      <c r="H97" s="6">
        <v>8333.33</v>
      </c>
      <c r="I97" t="s">
        <v>107</v>
      </c>
      <c r="J97">
        <v>1725337590</v>
      </c>
      <c r="K97">
        <v>551402</v>
      </c>
      <c r="L97" s="3">
        <v>45989</v>
      </c>
      <c r="M97">
        <v>1734624657</v>
      </c>
    </row>
    <row r="98" spans="1:13" x14ac:dyDescent="0.25">
      <c r="A98">
        <v>551402</v>
      </c>
      <c r="B98" t="s">
        <v>104</v>
      </c>
      <c r="C98" s="2">
        <v>45989</v>
      </c>
      <c r="D98" s="2">
        <v>45989</v>
      </c>
      <c r="E98" s="3">
        <v>45989</v>
      </c>
      <c r="F98" t="s">
        <v>105</v>
      </c>
      <c r="G98" t="s">
        <v>106</v>
      </c>
      <c r="H98" s="6">
        <v>8333.33</v>
      </c>
      <c r="I98" t="s">
        <v>107</v>
      </c>
      <c r="J98">
        <v>1725337590</v>
      </c>
      <c r="K98">
        <v>551402</v>
      </c>
      <c r="L98" s="3">
        <v>45989</v>
      </c>
      <c r="M98">
        <v>1734624670</v>
      </c>
    </row>
    <row r="99" spans="1:13" x14ac:dyDescent="0.25">
      <c r="A99">
        <v>551402</v>
      </c>
      <c r="B99" t="s">
        <v>104</v>
      </c>
      <c r="C99" s="2">
        <v>45989</v>
      </c>
      <c r="D99" s="2">
        <v>45989</v>
      </c>
      <c r="E99" s="3">
        <v>45989</v>
      </c>
      <c r="F99" t="s">
        <v>105</v>
      </c>
      <c r="G99" t="s">
        <v>106</v>
      </c>
      <c r="H99" s="6">
        <v>8333.33</v>
      </c>
      <c r="I99" t="s">
        <v>107</v>
      </c>
      <c r="J99">
        <v>1725337590</v>
      </c>
      <c r="K99">
        <v>551402</v>
      </c>
      <c r="L99" s="3">
        <v>45989</v>
      </c>
      <c r="M99">
        <v>1734624654</v>
      </c>
    </row>
    <row r="100" spans="1:13" x14ac:dyDescent="0.25">
      <c r="A100">
        <v>551402</v>
      </c>
      <c r="B100" t="s">
        <v>104</v>
      </c>
      <c r="C100" s="2">
        <v>45989</v>
      </c>
      <c r="D100" s="2">
        <v>45989</v>
      </c>
      <c r="E100" s="3">
        <v>45989</v>
      </c>
      <c r="F100" t="s">
        <v>105</v>
      </c>
      <c r="G100" t="s">
        <v>106</v>
      </c>
      <c r="H100" s="6">
        <v>8333.33</v>
      </c>
      <c r="I100" t="s">
        <v>107</v>
      </c>
      <c r="J100">
        <v>1725337590</v>
      </c>
      <c r="K100">
        <v>551402</v>
      </c>
      <c r="L100" s="3">
        <v>45989</v>
      </c>
      <c r="M100">
        <v>1734624677</v>
      </c>
    </row>
    <row r="101" spans="1:13" x14ac:dyDescent="0.25">
      <c r="A101">
        <v>551402</v>
      </c>
      <c r="B101" t="s">
        <v>104</v>
      </c>
      <c r="C101" s="2">
        <v>45989</v>
      </c>
      <c r="D101" s="2">
        <v>45989</v>
      </c>
      <c r="E101" s="3">
        <v>45989</v>
      </c>
      <c r="F101" t="s">
        <v>105</v>
      </c>
      <c r="G101" t="s">
        <v>106</v>
      </c>
      <c r="H101" s="6">
        <v>8333.33</v>
      </c>
      <c r="I101" t="s">
        <v>107</v>
      </c>
      <c r="J101">
        <v>1725337590</v>
      </c>
      <c r="K101">
        <v>551402</v>
      </c>
      <c r="L101" s="3">
        <v>45989</v>
      </c>
      <c r="M101">
        <v>1734624663</v>
      </c>
    </row>
    <row r="102" spans="1:13" x14ac:dyDescent="0.25">
      <c r="A102">
        <v>551402</v>
      </c>
      <c r="B102" t="s">
        <v>104</v>
      </c>
      <c r="C102" s="2">
        <v>45989</v>
      </c>
      <c r="D102" s="2">
        <v>45989</v>
      </c>
      <c r="E102" s="3">
        <v>45989</v>
      </c>
      <c r="F102" t="s">
        <v>105</v>
      </c>
      <c r="G102" t="s">
        <v>106</v>
      </c>
      <c r="H102" s="6">
        <v>8333.33</v>
      </c>
      <c r="I102" t="s">
        <v>107</v>
      </c>
      <c r="J102">
        <v>1725337590</v>
      </c>
      <c r="K102">
        <v>551402</v>
      </c>
      <c r="L102" s="3">
        <v>45989</v>
      </c>
      <c r="M102">
        <v>1734624660</v>
      </c>
    </row>
    <row r="103" spans="1:13" x14ac:dyDescent="0.25">
      <c r="A103">
        <v>551402</v>
      </c>
      <c r="B103" t="s">
        <v>104</v>
      </c>
      <c r="C103" s="2">
        <v>45989</v>
      </c>
      <c r="D103" s="2">
        <v>45989</v>
      </c>
      <c r="E103" s="3">
        <v>45989</v>
      </c>
      <c r="F103" t="s">
        <v>105</v>
      </c>
      <c r="G103" t="s">
        <v>106</v>
      </c>
      <c r="H103" s="6">
        <v>8333.33</v>
      </c>
      <c r="I103" t="s">
        <v>107</v>
      </c>
      <c r="J103">
        <v>1725337590</v>
      </c>
      <c r="K103">
        <v>551402</v>
      </c>
      <c r="L103" s="3">
        <v>45989</v>
      </c>
      <c r="M103">
        <v>1734624667</v>
      </c>
    </row>
    <row r="104" spans="1:13" x14ac:dyDescent="0.25">
      <c r="A104">
        <v>551402</v>
      </c>
      <c r="B104" t="s">
        <v>104</v>
      </c>
      <c r="C104" s="2">
        <v>45989</v>
      </c>
      <c r="D104" s="2">
        <v>45989</v>
      </c>
      <c r="E104" s="3">
        <v>45989</v>
      </c>
      <c r="F104" t="s">
        <v>105</v>
      </c>
      <c r="G104" t="s">
        <v>106</v>
      </c>
      <c r="H104" s="6">
        <v>8333.33</v>
      </c>
      <c r="I104" t="s">
        <v>107</v>
      </c>
      <c r="J104">
        <v>1725337588</v>
      </c>
      <c r="K104">
        <v>551402</v>
      </c>
      <c r="L104" s="3">
        <v>45989</v>
      </c>
      <c r="M104">
        <v>1734624672</v>
      </c>
    </row>
    <row r="105" spans="1:13" x14ac:dyDescent="0.25">
      <c r="A105">
        <v>551402</v>
      </c>
      <c r="B105" t="s">
        <v>104</v>
      </c>
      <c r="C105" s="2">
        <v>45989</v>
      </c>
      <c r="D105" s="2">
        <v>45989</v>
      </c>
      <c r="E105" s="3">
        <v>45989</v>
      </c>
      <c r="F105" t="s">
        <v>105</v>
      </c>
      <c r="G105" t="s">
        <v>106</v>
      </c>
      <c r="H105" s="6">
        <v>8333.33</v>
      </c>
      <c r="I105" t="s">
        <v>107</v>
      </c>
      <c r="J105">
        <v>1725337588</v>
      </c>
      <c r="K105">
        <v>551402</v>
      </c>
      <c r="L105" s="3">
        <v>45989</v>
      </c>
      <c r="M105">
        <v>1734624657</v>
      </c>
    </row>
    <row r="106" spans="1:13" x14ac:dyDescent="0.25">
      <c r="A106">
        <v>551402</v>
      </c>
      <c r="B106" t="s">
        <v>104</v>
      </c>
      <c r="C106" s="2">
        <v>45989</v>
      </c>
      <c r="D106" s="2">
        <v>45989</v>
      </c>
      <c r="E106" s="3">
        <v>45989</v>
      </c>
      <c r="F106" t="s">
        <v>105</v>
      </c>
      <c r="G106" t="s">
        <v>106</v>
      </c>
      <c r="H106" s="6">
        <v>8333.33</v>
      </c>
      <c r="I106" t="s">
        <v>107</v>
      </c>
      <c r="J106">
        <v>1725337588</v>
      </c>
      <c r="K106">
        <v>551402</v>
      </c>
      <c r="L106" s="3">
        <v>45989</v>
      </c>
      <c r="M106">
        <v>1734624670</v>
      </c>
    </row>
    <row r="107" spans="1:13" x14ac:dyDescent="0.25">
      <c r="A107">
        <v>551402</v>
      </c>
      <c r="B107" t="s">
        <v>104</v>
      </c>
      <c r="C107" s="2">
        <v>45989</v>
      </c>
      <c r="D107" s="2">
        <v>45989</v>
      </c>
      <c r="E107" s="3">
        <v>45989</v>
      </c>
      <c r="F107" t="s">
        <v>105</v>
      </c>
      <c r="G107" t="s">
        <v>106</v>
      </c>
      <c r="H107" s="6">
        <v>8333.33</v>
      </c>
      <c r="I107" t="s">
        <v>107</v>
      </c>
      <c r="J107">
        <v>1725337588</v>
      </c>
      <c r="K107">
        <v>551402</v>
      </c>
      <c r="L107" s="3">
        <v>45989</v>
      </c>
      <c r="M107">
        <v>1734624654</v>
      </c>
    </row>
    <row r="108" spans="1:13" x14ac:dyDescent="0.25">
      <c r="A108">
        <v>551402</v>
      </c>
      <c r="B108" t="s">
        <v>104</v>
      </c>
      <c r="C108" s="2">
        <v>45989</v>
      </c>
      <c r="D108" s="2">
        <v>45989</v>
      </c>
      <c r="E108" s="3">
        <v>45989</v>
      </c>
      <c r="F108" t="s">
        <v>105</v>
      </c>
      <c r="G108" t="s">
        <v>106</v>
      </c>
      <c r="H108" s="6">
        <v>8333.33</v>
      </c>
      <c r="I108" t="s">
        <v>107</v>
      </c>
      <c r="J108">
        <v>1725337588</v>
      </c>
      <c r="K108">
        <v>551402</v>
      </c>
      <c r="L108" s="3">
        <v>45989</v>
      </c>
      <c r="M108">
        <v>1734624677</v>
      </c>
    </row>
    <row r="109" spans="1:13" x14ac:dyDescent="0.25">
      <c r="A109">
        <v>551402</v>
      </c>
      <c r="B109" t="s">
        <v>104</v>
      </c>
      <c r="C109" s="2">
        <v>45989</v>
      </c>
      <c r="D109" s="2">
        <v>45989</v>
      </c>
      <c r="E109" s="3">
        <v>45989</v>
      </c>
      <c r="F109" t="s">
        <v>105</v>
      </c>
      <c r="G109" t="s">
        <v>106</v>
      </c>
      <c r="H109" s="6">
        <v>8333.33</v>
      </c>
      <c r="I109" t="s">
        <v>107</v>
      </c>
      <c r="J109">
        <v>1725337588</v>
      </c>
      <c r="K109">
        <v>551402</v>
      </c>
      <c r="L109" s="3">
        <v>45989</v>
      </c>
      <c r="M109">
        <v>1734624663</v>
      </c>
    </row>
    <row r="110" spans="1:13" x14ac:dyDescent="0.25">
      <c r="A110">
        <v>551402</v>
      </c>
      <c r="B110" t="s">
        <v>104</v>
      </c>
      <c r="C110" s="2">
        <v>45989</v>
      </c>
      <c r="D110" s="2">
        <v>45989</v>
      </c>
      <c r="E110" s="3">
        <v>45989</v>
      </c>
      <c r="F110" t="s">
        <v>105</v>
      </c>
      <c r="G110" t="s">
        <v>106</v>
      </c>
      <c r="H110" s="6">
        <v>8333.33</v>
      </c>
      <c r="I110" t="s">
        <v>107</v>
      </c>
      <c r="J110">
        <v>1725337588</v>
      </c>
      <c r="K110">
        <v>551402</v>
      </c>
      <c r="L110" s="3">
        <v>45989</v>
      </c>
      <c r="M110">
        <v>1734624660</v>
      </c>
    </row>
    <row r="111" spans="1:13" x14ac:dyDescent="0.25">
      <c r="A111">
        <v>551402</v>
      </c>
      <c r="B111" t="s">
        <v>104</v>
      </c>
      <c r="C111" s="2">
        <v>45989</v>
      </c>
      <c r="D111" s="2">
        <v>45989</v>
      </c>
      <c r="E111" s="3">
        <v>45989</v>
      </c>
      <c r="F111" t="s">
        <v>105</v>
      </c>
      <c r="G111" t="s">
        <v>106</v>
      </c>
      <c r="H111" s="6">
        <v>8333.33</v>
      </c>
      <c r="I111" t="s">
        <v>107</v>
      </c>
      <c r="J111">
        <v>1725337588</v>
      </c>
      <c r="K111">
        <v>551402</v>
      </c>
      <c r="L111" s="3">
        <v>45989</v>
      </c>
      <c r="M111">
        <v>1734624667</v>
      </c>
    </row>
    <row r="112" spans="1:13" x14ac:dyDescent="0.25">
      <c r="A112">
        <v>551402</v>
      </c>
      <c r="B112" t="s">
        <v>104</v>
      </c>
      <c r="C112" s="2">
        <v>45989</v>
      </c>
      <c r="D112" s="2">
        <v>45989</v>
      </c>
      <c r="E112" s="3">
        <v>45989</v>
      </c>
      <c r="F112" t="s">
        <v>105</v>
      </c>
      <c r="G112" t="s">
        <v>106</v>
      </c>
      <c r="H112" s="6">
        <v>8333.33</v>
      </c>
      <c r="I112" t="s">
        <v>107</v>
      </c>
      <c r="J112">
        <v>1725337590</v>
      </c>
      <c r="K112">
        <v>551402</v>
      </c>
      <c r="L112" s="3">
        <v>45989</v>
      </c>
      <c r="M112">
        <v>1734624672</v>
      </c>
    </row>
    <row r="113" spans="1:13" x14ac:dyDescent="0.25">
      <c r="A113">
        <v>551402</v>
      </c>
      <c r="B113" t="s">
        <v>104</v>
      </c>
      <c r="C113" s="2">
        <v>45989</v>
      </c>
      <c r="D113" s="2">
        <v>45989</v>
      </c>
      <c r="E113" s="3">
        <v>45989</v>
      </c>
      <c r="F113" t="s">
        <v>105</v>
      </c>
      <c r="G113" t="s">
        <v>106</v>
      </c>
      <c r="H113" s="6">
        <v>8333.33</v>
      </c>
      <c r="I113" t="s">
        <v>107</v>
      </c>
      <c r="J113">
        <v>1725337590</v>
      </c>
      <c r="K113">
        <v>551402</v>
      </c>
      <c r="L113" s="3">
        <v>45989</v>
      </c>
      <c r="M113">
        <v>1734624657</v>
      </c>
    </row>
    <row r="114" spans="1:13" x14ac:dyDescent="0.25">
      <c r="A114">
        <v>551402</v>
      </c>
      <c r="B114" t="s">
        <v>104</v>
      </c>
      <c r="C114" s="2">
        <v>45989</v>
      </c>
      <c r="D114" s="2">
        <v>45989</v>
      </c>
      <c r="E114" s="3">
        <v>45989</v>
      </c>
      <c r="F114" t="s">
        <v>105</v>
      </c>
      <c r="G114" t="s">
        <v>106</v>
      </c>
      <c r="H114" s="6">
        <v>8333.33</v>
      </c>
      <c r="I114" t="s">
        <v>107</v>
      </c>
      <c r="J114">
        <v>1725337590</v>
      </c>
      <c r="K114">
        <v>551402</v>
      </c>
      <c r="L114" s="3">
        <v>45989</v>
      </c>
      <c r="M114">
        <v>1734624670</v>
      </c>
    </row>
    <row r="115" spans="1:13" x14ac:dyDescent="0.25">
      <c r="A115">
        <v>551402</v>
      </c>
      <c r="B115" t="s">
        <v>104</v>
      </c>
      <c r="C115" s="2">
        <v>45989</v>
      </c>
      <c r="D115" s="2">
        <v>45989</v>
      </c>
      <c r="E115" s="3">
        <v>45989</v>
      </c>
      <c r="F115" t="s">
        <v>105</v>
      </c>
      <c r="G115" t="s">
        <v>106</v>
      </c>
      <c r="H115" s="6">
        <v>8333.33</v>
      </c>
      <c r="I115" t="s">
        <v>107</v>
      </c>
      <c r="J115">
        <v>1725337590</v>
      </c>
      <c r="K115">
        <v>551402</v>
      </c>
      <c r="L115" s="3">
        <v>45989</v>
      </c>
      <c r="M115">
        <v>1734624654</v>
      </c>
    </row>
    <row r="116" spans="1:13" x14ac:dyDescent="0.25">
      <c r="A116">
        <v>551402</v>
      </c>
      <c r="B116" t="s">
        <v>104</v>
      </c>
      <c r="C116" s="2">
        <v>45989</v>
      </c>
      <c r="D116" s="2">
        <v>45989</v>
      </c>
      <c r="E116" s="3">
        <v>45989</v>
      </c>
      <c r="F116" t="s">
        <v>105</v>
      </c>
      <c r="G116" t="s">
        <v>106</v>
      </c>
      <c r="H116" s="6">
        <v>8333.33</v>
      </c>
      <c r="I116" t="s">
        <v>107</v>
      </c>
      <c r="J116">
        <v>1725337590</v>
      </c>
      <c r="K116">
        <v>551402</v>
      </c>
      <c r="L116" s="3">
        <v>45989</v>
      </c>
      <c r="M116">
        <v>1734624677</v>
      </c>
    </row>
    <row r="117" spans="1:13" x14ac:dyDescent="0.25">
      <c r="A117">
        <v>551402</v>
      </c>
      <c r="B117" t="s">
        <v>104</v>
      </c>
      <c r="C117" s="2">
        <v>45989</v>
      </c>
      <c r="D117" s="2">
        <v>45989</v>
      </c>
      <c r="E117" s="3">
        <v>45989</v>
      </c>
      <c r="F117" t="s">
        <v>105</v>
      </c>
      <c r="G117" t="s">
        <v>106</v>
      </c>
      <c r="H117" s="6">
        <v>8333.33</v>
      </c>
      <c r="I117" t="s">
        <v>107</v>
      </c>
      <c r="J117">
        <v>1725337590</v>
      </c>
      <c r="K117">
        <v>551402</v>
      </c>
      <c r="L117" s="3">
        <v>45989</v>
      </c>
      <c r="M117">
        <v>1734624663</v>
      </c>
    </row>
    <row r="118" spans="1:13" x14ac:dyDescent="0.25">
      <c r="A118">
        <v>551402</v>
      </c>
      <c r="B118" t="s">
        <v>104</v>
      </c>
      <c r="C118" s="2">
        <v>45989</v>
      </c>
      <c r="D118" s="2">
        <v>45989</v>
      </c>
      <c r="E118" s="3">
        <v>45989</v>
      </c>
      <c r="F118" t="s">
        <v>105</v>
      </c>
      <c r="G118" t="s">
        <v>106</v>
      </c>
      <c r="H118" s="6">
        <v>8333.33</v>
      </c>
      <c r="I118" t="s">
        <v>107</v>
      </c>
      <c r="J118">
        <v>1725337590</v>
      </c>
      <c r="K118">
        <v>551402</v>
      </c>
      <c r="L118" s="3">
        <v>45989</v>
      </c>
      <c r="M118">
        <v>1734624660</v>
      </c>
    </row>
    <row r="119" spans="1:13" x14ac:dyDescent="0.25">
      <c r="A119">
        <v>551402</v>
      </c>
      <c r="B119" t="s">
        <v>104</v>
      </c>
      <c r="C119" s="2">
        <v>45989</v>
      </c>
      <c r="D119" s="2">
        <v>45989</v>
      </c>
      <c r="E119" s="3">
        <v>45989</v>
      </c>
      <c r="F119" t="s">
        <v>105</v>
      </c>
      <c r="G119" t="s">
        <v>106</v>
      </c>
      <c r="H119" s="6">
        <v>8333.33</v>
      </c>
      <c r="I119" t="s">
        <v>107</v>
      </c>
      <c r="J119">
        <v>1725337590</v>
      </c>
      <c r="K119">
        <v>551402</v>
      </c>
      <c r="L119" s="3">
        <v>45989</v>
      </c>
      <c r="M119">
        <v>1734624667</v>
      </c>
    </row>
    <row r="120" spans="1:13" x14ac:dyDescent="0.25">
      <c r="A120">
        <v>551402</v>
      </c>
      <c r="B120" t="s">
        <v>104</v>
      </c>
      <c r="C120" s="2">
        <v>45989</v>
      </c>
      <c r="D120" s="2">
        <v>45989</v>
      </c>
      <c r="E120" s="3">
        <v>45989</v>
      </c>
      <c r="F120" t="s">
        <v>105</v>
      </c>
      <c r="G120" t="s">
        <v>106</v>
      </c>
      <c r="H120" s="6">
        <v>8333.33</v>
      </c>
      <c r="I120" t="s">
        <v>107</v>
      </c>
      <c r="J120">
        <v>1725337588</v>
      </c>
      <c r="K120">
        <v>551402</v>
      </c>
      <c r="L120" s="3">
        <v>45989</v>
      </c>
      <c r="M120">
        <v>1734624672</v>
      </c>
    </row>
    <row r="121" spans="1:13" x14ac:dyDescent="0.25">
      <c r="A121">
        <v>551402</v>
      </c>
      <c r="B121" t="s">
        <v>104</v>
      </c>
      <c r="C121" s="2">
        <v>45989</v>
      </c>
      <c r="D121" s="2">
        <v>45989</v>
      </c>
      <c r="E121" s="3">
        <v>45989</v>
      </c>
      <c r="F121" t="s">
        <v>105</v>
      </c>
      <c r="G121" t="s">
        <v>106</v>
      </c>
      <c r="H121" s="6">
        <v>8333.33</v>
      </c>
      <c r="I121" t="s">
        <v>107</v>
      </c>
      <c r="J121">
        <v>1725337588</v>
      </c>
      <c r="K121">
        <v>551402</v>
      </c>
      <c r="L121" s="3">
        <v>45989</v>
      </c>
      <c r="M121">
        <v>1734624657</v>
      </c>
    </row>
    <row r="122" spans="1:13" x14ac:dyDescent="0.25">
      <c r="A122">
        <v>551402</v>
      </c>
      <c r="B122" t="s">
        <v>104</v>
      </c>
      <c r="C122" s="2">
        <v>45989</v>
      </c>
      <c r="D122" s="2">
        <v>45989</v>
      </c>
      <c r="E122" s="3">
        <v>45989</v>
      </c>
      <c r="F122" t="s">
        <v>105</v>
      </c>
      <c r="G122" t="s">
        <v>106</v>
      </c>
      <c r="H122" s="6">
        <v>8333.33</v>
      </c>
      <c r="I122" t="s">
        <v>107</v>
      </c>
      <c r="J122">
        <v>1725337588</v>
      </c>
      <c r="K122">
        <v>551402</v>
      </c>
      <c r="L122" s="3">
        <v>45989</v>
      </c>
      <c r="M122">
        <v>1734624670</v>
      </c>
    </row>
    <row r="123" spans="1:13" x14ac:dyDescent="0.25">
      <c r="A123">
        <v>551402</v>
      </c>
      <c r="B123" t="s">
        <v>104</v>
      </c>
      <c r="C123" s="2">
        <v>45989</v>
      </c>
      <c r="D123" s="2">
        <v>45989</v>
      </c>
      <c r="E123" s="3">
        <v>45989</v>
      </c>
      <c r="F123" t="s">
        <v>105</v>
      </c>
      <c r="G123" t="s">
        <v>106</v>
      </c>
      <c r="H123" s="6">
        <v>8333.33</v>
      </c>
      <c r="I123" t="s">
        <v>107</v>
      </c>
      <c r="J123">
        <v>1725337588</v>
      </c>
      <c r="K123">
        <v>551402</v>
      </c>
      <c r="L123" s="3">
        <v>45989</v>
      </c>
      <c r="M123">
        <v>1734624654</v>
      </c>
    </row>
    <row r="124" spans="1:13" x14ac:dyDescent="0.25">
      <c r="A124">
        <v>551402</v>
      </c>
      <c r="B124" t="s">
        <v>104</v>
      </c>
      <c r="C124" s="2">
        <v>45989</v>
      </c>
      <c r="D124" s="2">
        <v>45989</v>
      </c>
      <c r="E124" s="3">
        <v>45989</v>
      </c>
      <c r="F124" t="s">
        <v>105</v>
      </c>
      <c r="G124" t="s">
        <v>106</v>
      </c>
      <c r="H124" s="6">
        <v>8333.33</v>
      </c>
      <c r="I124" t="s">
        <v>107</v>
      </c>
      <c r="J124">
        <v>1725337588</v>
      </c>
      <c r="K124">
        <v>551402</v>
      </c>
      <c r="L124" s="3">
        <v>45989</v>
      </c>
      <c r="M124">
        <v>1734624677</v>
      </c>
    </row>
    <row r="125" spans="1:13" x14ac:dyDescent="0.25">
      <c r="A125">
        <v>551402</v>
      </c>
      <c r="B125" t="s">
        <v>104</v>
      </c>
      <c r="C125" s="2">
        <v>45989</v>
      </c>
      <c r="D125" s="2">
        <v>45989</v>
      </c>
      <c r="E125" s="3">
        <v>45989</v>
      </c>
      <c r="F125" t="s">
        <v>105</v>
      </c>
      <c r="G125" t="s">
        <v>106</v>
      </c>
      <c r="H125" s="6">
        <v>8333.33</v>
      </c>
      <c r="I125" t="s">
        <v>107</v>
      </c>
      <c r="J125">
        <v>1725337588</v>
      </c>
      <c r="K125">
        <v>551402</v>
      </c>
      <c r="L125" s="3">
        <v>45989</v>
      </c>
      <c r="M125">
        <v>1734624663</v>
      </c>
    </row>
    <row r="126" spans="1:13" x14ac:dyDescent="0.25">
      <c r="A126">
        <v>551402</v>
      </c>
      <c r="B126" t="s">
        <v>104</v>
      </c>
      <c r="C126" s="2">
        <v>45989</v>
      </c>
      <c r="D126" s="2">
        <v>45989</v>
      </c>
      <c r="E126" s="3">
        <v>45989</v>
      </c>
      <c r="F126" t="s">
        <v>105</v>
      </c>
      <c r="G126" t="s">
        <v>106</v>
      </c>
      <c r="H126" s="6">
        <v>8333.33</v>
      </c>
      <c r="I126" t="s">
        <v>107</v>
      </c>
      <c r="J126">
        <v>1725337588</v>
      </c>
      <c r="K126">
        <v>551402</v>
      </c>
      <c r="L126" s="3">
        <v>45989</v>
      </c>
      <c r="M126">
        <v>1734624660</v>
      </c>
    </row>
    <row r="127" spans="1:13" x14ac:dyDescent="0.25">
      <c r="A127">
        <v>551402</v>
      </c>
      <c r="B127" t="s">
        <v>104</v>
      </c>
      <c r="C127" s="2">
        <v>45989</v>
      </c>
      <c r="D127" s="2">
        <v>45989</v>
      </c>
      <c r="E127" s="3">
        <v>45989</v>
      </c>
      <c r="F127" t="s">
        <v>105</v>
      </c>
      <c r="G127" t="s">
        <v>106</v>
      </c>
      <c r="H127" s="6">
        <v>8333.33</v>
      </c>
      <c r="I127" t="s">
        <v>107</v>
      </c>
      <c r="J127">
        <v>1725337588</v>
      </c>
      <c r="K127">
        <v>551402</v>
      </c>
      <c r="L127" s="3">
        <v>45989</v>
      </c>
      <c r="M127">
        <v>1734624667</v>
      </c>
    </row>
    <row r="128" spans="1:13" x14ac:dyDescent="0.25">
      <c r="A128">
        <v>551402</v>
      </c>
      <c r="B128" t="s">
        <v>104</v>
      </c>
      <c r="C128" s="2">
        <v>45989</v>
      </c>
      <c r="D128" s="2">
        <v>45989</v>
      </c>
      <c r="E128" s="3">
        <v>45989</v>
      </c>
      <c r="F128" t="s">
        <v>105</v>
      </c>
      <c r="G128" t="s">
        <v>106</v>
      </c>
      <c r="H128" s="6">
        <v>8333.33</v>
      </c>
      <c r="I128" t="s">
        <v>107</v>
      </c>
      <c r="J128">
        <v>1725337590</v>
      </c>
      <c r="K128">
        <v>551402</v>
      </c>
      <c r="L128" s="3">
        <v>45989</v>
      </c>
      <c r="M128">
        <v>1734624672</v>
      </c>
    </row>
    <row r="129" spans="1:13" x14ac:dyDescent="0.25">
      <c r="A129">
        <v>551402</v>
      </c>
      <c r="B129" t="s">
        <v>104</v>
      </c>
      <c r="C129" s="2">
        <v>45989</v>
      </c>
      <c r="D129" s="2">
        <v>45989</v>
      </c>
      <c r="E129" s="3">
        <v>45989</v>
      </c>
      <c r="F129" t="s">
        <v>105</v>
      </c>
      <c r="G129" t="s">
        <v>106</v>
      </c>
      <c r="H129" s="6">
        <v>8333.33</v>
      </c>
      <c r="I129" t="s">
        <v>107</v>
      </c>
      <c r="J129">
        <v>1725337590</v>
      </c>
      <c r="K129">
        <v>551402</v>
      </c>
      <c r="L129" s="3">
        <v>45989</v>
      </c>
      <c r="M129">
        <v>1734624657</v>
      </c>
    </row>
    <row r="130" spans="1:13" x14ac:dyDescent="0.25">
      <c r="A130">
        <v>551402</v>
      </c>
      <c r="B130" t="s">
        <v>104</v>
      </c>
      <c r="C130" s="2">
        <v>45989</v>
      </c>
      <c r="D130" s="2">
        <v>45989</v>
      </c>
      <c r="E130" s="3">
        <v>45989</v>
      </c>
      <c r="F130" t="s">
        <v>105</v>
      </c>
      <c r="G130" t="s">
        <v>106</v>
      </c>
      <c r="H130" s="6">
        <v>8333.33</v>
      </c>
      <c r="I130" t="s">
        <v>107</v>
      </c>
      <c r="J130">
        <v>1725337590</v>
      </c>
      <c r="K130">
        <v>551402</v>
      </c>
      <c r="L130" s="3">
        <v>45989</v>
      </c>
      <c r="M130">
        <v>1734624670</v>
      </c>
    </row>
    <row r="131" spans="1:13" x14ac:dyDescent="0.25">
      <c r="A131">
        <v>551402</v>
      </c>
      <c r="B131" t="s">
        <v>104</v>
      </c>
      <c r="C131" s="2">
        <v>45989</v>
      </c>
      <c r="D131" s="2">
        <v>45989</v>
      </c>
      <c r="E131" s="3">
        <v>45989</v>
      </c>
      <c r="F131" t="s">
        <v>105</v>
      </c>
      <c r="G131" t="s">
        <v>106</v>
      </c>
      <c r="H131" s="6">
        <v>8333.33</v>
      </c>
      <c r="I131" t="s">
        <v>107</v>
      </c>
      <c r="J131">
        <v>1725337590</v>
      </c>
      <c r="K131">
        <v>551402</v>
      </c>
      <c r="L131" s="3">
        <v>45989</v>
      </c>
      <c r="M131">
        <v>1734624654</v>
      </c>
    </row>
    <row r="132" spans="1:13" x14ac:dyDescent="0.25">
      <c r="A132">
        <v>551402</v>
      </c>
      <c r="B132" t="s">
        <v>104</v>
      </c>
      <c r="C132" s="2">
        <v>45989</v>
      </c>
      <c r="D132" s="2">
        <v>45989</v>
      </c>
      <c r="E132" s="3">
        <v>45989</v>
      </c>
      <c r="F132" t="s">
        <v>105</v>
      </c>
      <c r="G132" t="s">
        <v>106</v>
      </c>
      <c r="H132" s="6">
        <v>8333.33</v>
      </c>
      <c r="I132" t="s">
        <v>107</v>
      </c>
      <c r="J132">
        <v>1725337590</v>
      </c>
      <c r="K132">
        <v>551402</v>
      </c>
      <c r="L132" s="3">
        <v>45989</v>
      </c>
      <c r="M132">
        <v>1734624677</v>
      </c>
    </row>
    <row r="133" spans="1:13" x14ac:dyDescent="0.25">
      <c r="A133">
        <v>551402</v>
      </c>
      <c r="B133" t="s">
        <v>104</v>
      </c>
      <c r="C133" s="2">
        <v>45989</v>
      </c>
      <c r="D133" s="2">
        <v>45989</v>
      </c>
      <c r="E133" s="3">
        <v>45989</v>
      </c>
      <c r="F133" t="s">
        <v>105</v>
      </c>
      <c r="G133" t="s">
        <v>106</v>
      </c>
      <c r="H133" s="6">
        <v>8333.33</v>
      </c>
      <c r="I133" t="s">
        <v>107</v>
      </c>
      <c r="J133">
        <v>1725337590</v>
      </c>
      <c r="K133">
        <v>551402</v>
      </c>
      <c r="L133" s="3">
        <v>45989</v>
      </c>
      <c r="M133">
        <v>1734624663</v>
      </c>
    </row>
    <row r="134" spans="1:13" x14ac:dyDescent="0.25">
      <c r="A134">
        <v>551402</v>
      </c>
      <c r="B134" t="s">
        <v>104</v>
      </c>
      <c r="C134" s="2">
        <v>45989</v>
      </c>
      <c r="D134" s="2">
        <v>45989</v>
      </c>
      <c r="E134" s="3">
        <v>45989</v>
      </c>
      <c r="F134" t="s">
        <v>105</v>
      </c>
      <c r="G134" t="s">
        <v>106</v>
      </c>
      <c r="H134" s="6">
        <v>8333.33</v>
      </c>
      <c r="I134" t="s">
        <v>107</v>
      </c>
      <c r="J134">
        <v>1725337590</v>
      </c>
      <c r="K134">
        <v>551402</v>
      </c>
      <c r="L134" s="3">
        <v>45989</v>
      </c>
      <c r="M134">
        <v>1734624660</v>
      </c>
    </row>
    <row r="135" spans="1:13" x14ac:dyDescent="0.25">
      <c r="A135">
        <v>551402</v>
      </c>
      <c r="B135" t="s">
        <v>104</v>
      </c>
      <c r="C135" s="2">
        <v>45989</v>
      </c>
      <c r="D135" s="2">
        <v>45989</v>
      </c>
      <c r="E135" s="3">
        <v>45989</v>
      </c>
      <c r="F135" t="s">
        <v>105</v>
      </c>
      <c r="G135" t="s">
        <v>106</v>
      </c>
      <c r="H135" s="6">
        <v>8333.33</v>
      </c>
      <c r="I135" t="s">
        <v>107</v>
      </c>
      <c r="J135">
        <v>1725337590</v>
      </c>
      <c r="K135">
        <v>551402</v>
      </c>
      <c r="L135" s="3">
        <v>45989</v>
      </c>
      <c r="M135">
        <v>1734624667</v>
      </c>
    </row>
    <row r="136" spans="1:13" x14ac:dyDescent="0.25">
      <c r="A136">
        <v>551402</v>
      </c>
      <c r="B136" t="s">
        <v>104</v>
      </c>
      <c r="C136" s="2">
        <v>45989</v>
      </c>
      <c r="D136" s="2">
        <v>45989</v>
      </c>
      <c r="E136" s="3">
        <v>45989</v>
      </c>
      <c r="F136" t="s">
        <v>105</v>
      </c>
      <c r="G136" t="s">
        <v>106</v>
      </c>
      <c r="H136" s="6">
        <v>8333.33</v>
      </c>
      <c r="I136" t="s">
        <v>107</v>
      </c>
      <c r="J136">
        <v>1725337588</v>
      </c>
      <c r="K136">
        <v>551402</v>
      </c>
      <c r="L136" s="3">
        <v>45989</v>
      </c>
      <c r="M136">
        <v>1734624672</v>
      </c>
    </row>
    <row r="137" spans="1:13" x14ac:dyDescent="0.25">
      <c r="A137">
        <v>551402</v>
      </c>
      <c r="B137" t="s">
        <v>104</v>
      </c>
      <c r="C137" s="2">
        <v>45989</v>
      </c>
      <c r="D137" s="2">
        <v>45989</v>
      </c>
      <c r="E137" s="3">
        <v>45989</v>
      </c>
      <c r="F137" t="s">
        <v>105</v>
      </c>
      <c r="G137" t="s">
        <v>106</v>
      </c>
      <c r="H137" s="6">
        <v>8333.33</v>
      </c>
      <c r="I137" t="s">
        <v>107</v>
      </c>
      <c r="J137">
        <v>1725337588</v>
      </c>
      <c r="K137">
        <v>551402</v>
      </c>
      <c r="L137" s="3">
        <v>45989</v>
      </c>
      <c r="M137">
        <v>1734624657</v>
      </c>
    </row>
    <row r="138" spans="1:13" x14ac:dyDescent="0.25">
      <c r="A138">
        <v>551402</v>
      </c>
      <c r="B138" t="s">
        <v>104</v>
      </c>
      <c r="C138" s="2">
        <v>45989</v>
      </c>
      <c r="D138" s="2">
        <v>45989</v>
      </c>
      <c r="E138" s="3">
        <v>45989</v>
      </c>
      <c r="F138" t="s">
        <v>105</v>
      </c>
      <c r="G138" t="s">
        <v>106</v>
      </c>
      <c r="H138" s="6">
        <v>8333.33</v>
      </c>
      <c r="I138" t="s">
        <v>107</v>
      </c>
      <c r="J138">
        <v>1725337588</v>
      </c>
      <c r="K138">
        <v>551402</v>
      </c>
      <c r="L138" s="3">
        <v>45989</v>
      </c>
      <c r="M138">
        <v>1734624670</v>
      </c>
    </row>
    <row r="139" spans="1:13" x14ac:dyDescent="0.25">
      <c r="A139">
        <v>551402</v>
      </c>
      <c r="B139" t="s">
        <v>104</v>
      </c>
      <c r="C139" s="2">
        <v>45989</v>
      </c>
      <c r="D139" s="2">
        <v>45989</v>
      </c>
      <c r="E139" s="3">
        <v>45989</v>
      </c>
      <c r="F139" t="s">
        <v>105</v>
      </c>
      <c r="G139" t="s">
        <v>106</v>
      </c>
      <c r="H139" s="6">
        <v>8333.33</v>
      </c>
      <c r="I139" t="s">
        <v>107</v>
      </c>
      <c r="J139">
        <v>1725337588</v>
      </c>
      <c r="K139">
        <v>551402</v>
      </c>
      <c r="L139" s="3">
        <v>45989</v>
      </c>
      <c r="M139">
        <v>1734624654</v>
      </c>
    </row>
    <row r="140" spans="1:13" x14ac:dyDescent="0.25">
      <c r="A140">
        <v>551402</v>
      </c>
      <c r="B140" t="s">
        <v>104</v>
      </c>
      <c r="C140" s="2">
        <v>45989</v>
      </c>
      <c r="D140" s="2">
        <v>45989</v>
      </c>
      <c r="E140" s="3">
        <v>45989</v>
      </c>
      <c r="F140" t="s">
        <v>105</v>
      </c>
      <c r="G140" t="s">
        <v>106</v>
      </c>
      <c r="H140" s="6">
        <v>8333.33</v>
      </c>
      <c r="I140" t="s">
        <v>107</v>
      </c>
      <c r="J140">
        <v>1725337588</v>
      </c>
      <c r="K140">
        <v>551402</v>
      </c>
      <c r="L140" s="3">
        <v>45989</v>
      </c>
      <c r="M140">
        <v>1734624677</v>
      </c>
    </row>
    <row r="141" spans="1:13" x14ac:dyDescent="0.25">
      <c r="A141">
        <v>551402</v>
      </c>
      <c r="B141" t="s">
        <v>104</v>
      </c>
      <c r="C141" s="2">
        <v>45989</v>
      </c>
      <c r="D141" s="2">
        <v>45989</v>
      </c>
      <c r="E141" s="3">
        <v>45989</v>
      </c>
      <c r="F141" t="s">
        <v>105</v>
      </c>
      <c r="G141" t="s">
        <v>106</v>
      </c>
      <c r="H141" s="6">
        <v>8333.33</v>
      </c>
      <c r="I141" t="s">
        <v>107</v>
      </c>
      <c r="J141">
        <v>1725337588</v>
      </c>
      <c r="K141">
        <v>551402</v>
      </c>
      <c r="L141" s="3">
        <v>45989</v>
      </c>
      <c r="M141">
        <v>1734624663</v>
      </c>
    </row>
    <row r="142" spans="1:13" x14ac:dyDescent="0.25">
      <c r="A142">
        <v>551402</v>
      </c>
      <c r="B142" t="s">
        <v>104</v>
      </c>
      <c r="C142" s="2">
        <v>45989</v>
      </c>
      <c r="D142" s="2">
        <v>45989</v>
      </c>
      <c r="E142" s="3">
        <v>45989</v>
      </c>
      <c r="F142" t="s">
        <v>105</v>
      </c>
      <c r="G142" t="s">
        <v>106</v>
      </c>
      <c r="H142" s="6">
        <v>8333.33</v>
      </c>
      <c r="I142" t="s">
        <v>107</v>
      </c>
      <c r="J142">
        <v>1725337588</v>
      </c>
      <c r="K142">
        <v>551402</v>
      </c>
      <c r="L142" s="3">
        <v>45989</v>
      </c>
      <c r="M142">
        <v>1734624660</v>
      </c>
    </row>
    <row r="143" spans="1:13" x14ac:dyDescent="0.25">
      <c r="A143">
        <v>551402</v>
      </c>
      <c r="B143" t="s">
        <v>104</v>
      </c>
      <c r="C143" s="2">
        <v>45989</v>
      </c>
      <c r="D143" s="2">
        <v>45989</v>
      </c>
      <c r="E143" s="3">
        <v>45989</v>
      </c>
      <c r="F143" t="s">
        <v>105</v>
      </c>
      <c r="G143" t="s">
        <v>106</v>
      </c>
      <c r="H143" s="6">
        <v>8333.33</v>
      </c>
      <c r="I143" t="s">
        <v>107</v>
      </c>
      <c r="J143">
        <v>1725337588</v>
      </c>
      <c r="K143">
        <v>551402</v>
      </c>
      <c r="L143" s="3">
        <v>45989</v>
      </c>
      <c r="M143">
        <v>1734624667</v>
      </c>
    </row>
    <row r="144" spans="1:13" x14ac:dyDescent="0.25">
      <c r="A144">
        <v>551402</v>
      </c>
      <c r="B144" t="s">
        <v>104</v>
      </c>
      <c r="C144" s="2">
        <v>45989</v>
      </c>
      <c r="D144" s="2">
        <v>45989</v>
      </c>
      <c r="E144" s="3">
        <v>45989</v>
      </c>
      <c r="F144" t="s">
        <v>105</v>
      </c>
      <c r="G144" t="s">
        <v>106</v>
      </c>
      <c r="H144" s="6">
        <v>9583.33</v>
      </c>
      <c r="I144" t="s">
        <v>107</v>
      </c>
      <c r="J144">
        <v>1725337589</v>
      </c>
      <c r="K144">
        <v>551402</v>
      </c>
      <c r="L144" s="3">
        <v>45989</v>
      </c>
      <c r="M144">
        <v>1734624680</v>
      </c>
    </row>
    <row r="145" spans="1:13" x14ac:dyDescent="0.25">
      <c r="A145">
        <v>551402</v>
      </c>
      <c r="B145" t="s">
        <v>104</v>
      </c>
      <c r="C145" s="2">
        <v>45989</v>
      </c>
      <c r="D145" s="2">
        <v>45989</v>
      </c>
      <c r="E145" s="3">
        <v>45989</v>
      </c>
      <c r="F145" t="s">
        <v>105</v>
      </c>
      <c r="G145" t="s">
        <v>106</v>
      </c>
      <c r="H145" s="6">
        <v>10416.67</v>
      </c>
      <c r="I145" t="s">
        <v>107</v>
      </c>
      <c r="J145">
        <v>1725337594</v>
      </c>
      <c r="K145">
        <v>551402</v>
      </c>
      <c r="L145" s="3">
        <v>45989</v>
      </c>
      <c r="M145">
        <v>1734624682</v>
      </c>
    </row>
    <row r="146" spans="1:13" x14ac:dyDescent="0.25">
      <c r="A146">
        <v>551402</v>
      </c>
      <c r="B146" t="s">
        <v>104</v>
      </c>
      <c r="C146" s="2">
        <v>45989</v>
      </c>
      <c r="D146" s="2">
        <v>45989</v>
      </c>
      <c r="E146" s="3">
        <v>45989</v>
      </c>
      <c r="F146" t="s">
        <v>105</v>
      </c>
      <c r="G146" t="s">
        <v>106</v>
      </c>
      <c r="H146" s="6">
        <v>25000</v>
      </c>
      <c r="I146" t="s">
        <v>107</v>
      </c>
      <c r="J146">
        <v>1725337591</v>
      </c>
      <c r="K146">
        <v>551402</v>
      </c>
      <c r="L146" s="3">
        <v>45989</v>
      </c>
      <c r="M146">
        <v>1734624685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2A75F-CCAD-43B6-BC9A-A0A51F8122D1}">
  <dimension ref="D2:O136"/>
  <sheetViews>
    <sheetView topLeftCell="A101" workbookViewId="0">
      <selection activeCell="A100" sqref="A100:XFD100"/>
    </sheetView>
  </sheetViews>
  <sheetFormatPr defaultRowHeight="15" x14ac:dyDescent="0.25"/>
  <cols>
    <col min="4" max="4" width="13.7109375" customWidth="1"/>
    <col min="14" max="14" width="16.5703125" customWidth="1"/>
  </cols>
  <sheetData>
    <row r="2" spans="4:15" x14ac:dyDescent="0.25">
      <c r="D2">
        <v>1734624706</v>
      </c>
    </row>
    <row r="3" spans="4:15" x14ac:dyDescent="0.25">
      <c r="D3">
        <v>1734624706</v>
      </c>
      <c r="N3" t="s">
        <v>196</v>
      </c>
      <c r="O3" t="s">
        <v>92</v>
      </c>
    </row>
    <row r="4" spans="4:15" x14ac:dyDescent="0.25">
      <c r="D4">
        <v>1734624707</v>
      </c>
      <c r="N4">
        <v>1704283895</v>
      </c>
      <c r="O4">
        <v>369038</v>
      </c>
    </row>
    <row r="5" spans="4:15" x14ac:dyDescent="0.25">
      <c r="D5">
        <v>1734624707</v>
      </c>
      <c r="N5">
        <v>1705487947</v>
      </c>
      <c r="O5">
        <v>369038</v>
      </c>
    </row>
    <row r="6" spans="4:15" x14ac:dyDescent="0.25">
      <c r="D6">
        <v>1734624643</v>
      </c>
      <c r="N6">
        <v>1706309641</v>
      </c>
      <c r="O6">
        <v>369038</v>
      </c>
    </row>
    <row r="7" spans="4:15" x14ac:dyDescent="0.25">
      <c r="D7">
        <v>1734624643</v>
      </c>
      <c r="N7">
        <v>1707275474</v>
      </c>
      <c r="O7">
        <v>369038</v>
      </c>
    </row>
    <row r="8" spans="4:15" x14ac:dyDescent="0.25">
      <c r="D8">
        <v>1734624630</v>
      </c>
      <c r="N8">
        <v>1708345664</v>
      </c>
      <c r="O8">
        <v>369038</v>
      </c>
    </row>
    <row r="9" spans="4:15" x14ac:dyDescent="0.25">
      <c r="D9">
        <v>1734624630</v>
      </c>
      <c r="N9">
        <v>1709649674</v>
      </c>
      <c r="O9">
        <v>369041</v>
      </c>
    </row>
    <row r="10" spans="4:15" x14ac:dyDescent="0.25">
      <c r="D10">
        <v>1734624631</v>
      </c>
      <c r="N10">
        <v>1709649665</v>
      </c>
      <c r="O10">
        <v>369038</v>
      </c>
    </row>
    <row r="11" spans="4:15" x14ac:dyDescent="0.25">
      <c r="D11">
        <v>1734624631</v>
      </c>
      <c r="N11">
        <v>1710390415</v>
      </c>
      <c r="O11">
        <v>369038</v>
      </c>
    </row>
    <row r="12" spans="4:15" x14ac:dyDescent="0.25">
      <c r="D12">
        <v>1734624637</v>
      </c>
      <c r="N12">
        <v>1711572936</v>
      </c>
      <c r="O12">
        <v>369038</v>
      </c>
    </row>
    <row r="13" spans="4:15" x14ac:dyDescent="0.25">
      <c r="D13">
        <v>1734624637</v>
      </c>
      <c r="N13">
        <v>1712757847</v>
      </c>
      <c r="O13">
        <v>369038</v>
      </c>
    </row>
    <row r="14" spans="4:15" x14ac:dyDescent="0.25">
      <c r="D14">
        <v>1734624671</v>
      </c>
      <c r="N14">
        <v>1714404908</v>
      </c>
      <c r="O14">
        <v>369038</v>
      </c>
    </row>
    <row r="15" spans="4:15" x14ac:dyDescent="0.25">
      <c r="D15">
        <v>1734624671</v>
      </c>
      <c r="N15">
        <v>1715446336</v>
      </c>
      <c r="O15">
        <v>369038</v>
      </c>
    </row>
    <row r="16" spans="4:15" x14ac:dyDescent="0.25">
      <c r="D16">
        <v>1734624674</v>
      </c>
      <c r="N16">
        <v>1716342311</v>
      </c>
      <c r="O16">
        <v>369038</v>
      </c>
    </row>
    <row r="17" spans="4:15" x14ac:dyDescent="0.25">
      <c r="D17">
        <v>1734624674</v>
      </c>
      <c r="N17">
        <v>1717299750</v>
      </c>
      <c r="O17">
        <v>369038</v>
      </c>
    </row>
    <row r="18" spans="4:15" x14ac:dyDescent="0.25">
      <c r="D18">
        <v>1734624675</v>
      </c>
      <c r="N18">
        <v>1718368860</v>
      </c>
      <c r="O18">
        <v>369038</v>
      </c>
    </row>
    <row r="19" spans="4:15" x14ac:dyDescent="0.25">
      <c r="D19">
        <v>1734624675</v>
      </c>
      <c r="N19">
        <v>1719434901</v>
      </c>
      <c r="O19">
        <v>369038</v>
      </c>
    </row>
    <row r="20" spans="4:15" x14ac:dyDescent="0.25">
      <c r="D20">
        <v>1704283895</v>
      </c>
      <c r="N20">
        <v>1721889032</v>
      </c>
      <c r="O20">
        <v>369038</v>
      </c>
    </row>
    <row r="21" spans="4:15" x14ac:dyDescent="0.25">
      <c r="D21">
        <v>1705487947</v>
      </c>
      <c r="N21">
        <v>1721859834</v>
      </c>
      <c r="O21">
        <v>369041</v>
      </c>
    </row>
    <row r="22" spans="4:15" x14ac:dyDescent="0.25">
      <c r="D22">
        <v>1706309641</v>
      </c>
      <c r="N22">
        <v>1723352923</v>
      </c>
      <c r="O22">
        <v>369038</v>
      </c>
    </row>
    <row r="23" spans="4:15" x14ac:dyDescent="0.25">
      <c r="D23">
        <v>1707275474</v>
      </c>
      <c r="N23">
        <v>1725337588</v>
      </c>
      <c r="O23">
        <v>369052</v>
      </c>
    </row>
    <row r="24" spans="4:15" x14ac:dyDescent="0.25">
      <c r="D24">
        <v>1708345664</v>
      </c>
      <c r="N24">
        <v>1725337594</v>
      </c>
      <c r="O24">
        <v>369052</v>
      </c>
    </row>
    <row r="25" spans="4:15" x14ac:dyDescent="0.25">
      <c r="D25">
        <v>1709649665</v>
      </c>
      <c r="N25">
        <v>1725337590</v>
      </c>
      <c r="O25">
        <v>369052</v>
      </c>
    </row>
    <row r="26" spans="4:15" x14ac:dyDescent="0.25">
      <c r="D26">
        <v>1710390415</v>
      </c>
      <c r="N26">
        <v>1725337591</v>
      </c>
      <c r="O26">
        <v>369052</v>
      </c>
    </row>
    <row r="27" spans="4:15" x14ac:dyDescent="0.25">
      <c r="D27">
        <v>1711572936</v>
      </c>
      <c r="N27">
        <v>1725337589</v>
      </c>
      <c r="O27">
        <v>369052</v>
      </c>
    </row>
    <row r="28" spans="4:15" x14ac:dyDescent="0.25">
      <c r="D28">
        <v>1712757847</v>
      </c>
      <c r="N28">
        <v>1725337486</v>
      </c>
      <c r="O28">
        <v>369038</v>
      </c>
    </row>
    <row r="29" spans="4:15" x14ac:dyDescent="0.25">
      <c r="D29">
        <v>1714404908</v>
      </c>
      <c r="N29">
        <v>1734624707</v>
      </c>
      <c r="O29">
        <v>551400</v>
      </c>
    </row>
    <row r="30" spans="4:15" x14ac:dyDescent="0.25">
      <c r="D30">
        <v>1715446336</v>
      </c>
      <c r="N30">
        <v>1734624704</v>
      </c>
      <c r="O30">
        <v>551400</v>
      </c>
    </row>
    <row r="31" spans="4:15" x14ac:dyDescent="0.25">
      <c r="D31">
        <v>1716342311</v>
      </c>
      <c r="N31">
        <v>1734624643</v>
      </c>
      <c r="O31">
        <v>551375</v>
      </c>
    </row>
    <row r="32" spans="4:15" x14ac:dyDescent="0.25">
      <c r="D32">
        <v>1717299750</v>
      </c>
      <c r="N32">
        <v>1734622496</v>
      </c>
      <c r="O32">
        <v>369053</v>
      </c>
    </row>
    <row r="33" spans="4:15" x14ac:dyDescent="0.25">
      <c r="D33">
        <v>1718368860</v>
      </c>
      <c r="N33">
        <v>1734622504</v>
      </c>
      <c r="O33">
        <v>369050</v>
      </c>
    </row>
    <row r="34" spans="4:15" x14ac:dyDescent="0.25">
      <c r="D34">
        <v>1719434901</v>
      </c>
      <c r="N34">
        <v>1734622498</v>
      </c>
      <c r="O34">
        <v>369053</v>
      </c>
    </row>
    <row r="35" spans="4:15" x14ac:dyDescent="0.25">
      <c r="D35">
        <v>1721889032</v>
      </c>
      <c r="N35">
        <v>1734624706</v>
      </c>
      <c r="O35">
        <v>551400</v>
      </c>
    </row>
    <row r="36" spans="4:15" x14ac:dyDescent="0.25">
      <c r="D36">
        <v>1723352923</v>
      </c>
      <c r="N36">
        <v>1734622502</v>
      </c>
      <c r="O36">
        <v>369050</v>
      </c>
    </row>
    <row r="37" spans="4:15" x14ac:dyDescent="0.25">
      <c r="D37">
        <v>1725337486</v>
      </c>
      <c r="N37">
        <v>1734624630</v>
      </c>
      <c r="O37">
        <v>551404</v>
      </c>
    </row>
    <row r="38" spans="4:15" x14ac:dyDescent="0.25">
      <c r="D38">
        <v>1734624643</v>
      </c>
      <c r="N38">
        <v>1734622516</v>
      </c>
      <c r="O38">
        <v>369050</v>
      </c>
    </row>
    <row r="39" spans="4:15" x14ac:dyDescent="0.25">
      <c r="D39">
        <v>1734622519</v>
      </c>
      <c r="N39">
        <v>1734622508</v>
      </c>
      <c r="O39">
        <v>369050</v>
      </c>
    </row>
    <row r="40" spans="4:15" x14ac:dyDescent="0.25">
      <c r="D40">
        <v>1734622496</v>
      </c>
      <c r="N40">
        <v>1734624674</v>
      </c>
      <c r="O40">
        <v>551374</v>
      </c>
    </row>
    <row r="41" spans="4:15" x14ac:dyDescent="0.25">
      <c r="D41">
        <v>1734624704</v>
      </c>
      <c r="N41">
        <v>1734624675</v>
      </c>
      <c r="O41">
        <v>551374</v>
      </c>
    </row>
    <row r="42" spans="4:15" x14ac:dyDescent="0.25">
      <c r="D42">
        <v>1734624706</v>
      </c>
      <c r="N42">
        <v>1734622519</v>
      </c>
      <c r="O42">
        <v>369050</v>
      </c>
    </row>
    <row r="43" spans="4:15" x14ac:dyDescent="0.25">
      <c r="D43">
        <v>1734622497</v>
      </c>
      <c r="N43">
        <v>1734622513</v>
      </c>
      <c r="O43">
        <v>369050</v>
      </c>
    </row>
    <row r="44" spans="4:15" x14ac:dyDescent="0.25">
      <c r="D44">
        <v>1734624707</v>
      </c>
      <c r="N44">
        <v>1734624671</v>
      </c>
      <c r="O44">
        <v>551374</v>
      </c>
    </row>
    <row r="45" spans="4:15" x14ac:dyDescent="0.25">
      <c r="D45">
        <v>1734622498</v>
      </c>
      <c r="N45">
        <v>1734622497</v>
      </c>
      <c r="O45">
        <v>369053</v>
      </c>
    </row>
    <row r="46" spans="4:15" x14ac:dyDescent="0.25">
      <c r="D46">
        <v>1734624630</v>
      </c>
      <c r="N46">
        <v>1734622515</v>
      </c>
      <c r="O46">
        <v>369050</v>
      </c>
    </row>
    <row r="47" spans="4:15" x14ac:dyDescent="0.25">
      <c r="D47">
        <v>1734622504</v>
      </c>
      <c r="N47">
        <v>1734624631</v>
      </c>
      <c r="O47">
        <v>551404</v>
      </c>
    </row>
    <row r="48" spans="4:15" x14ac:dyDescent="0.25">
      <c r="D48">
        <v>1734624671</v>
      </c>
      <c r="N48">
        <v>1734624637</v>
      </c>
      <c r="O48">
        <v>551404</v>
      </c>
    </row>
    <row r="49" spans="4:15" x14ac:dyDescent="0.25">
      <c r="D49">
        <v>1734622515</v>
      </c>
      <c r="N49">
        <v>1734624681</v>
      </c>
      <c r="O49">
        <v>551374</v>
      </c>
    </row>
    <row r="50" spans="4:15" x14ac:dyDescent="0.25">
      <c r="D50">
        <v>1734624631</v>
      </c>
      <c r="N50">
        <v>1734624672</v>
      </c>
      <c r="O50">
        <v>551402</v>
      </c>
    </row>
    <row r="51" spans="4:15" x14ac:dyDescent="0.25">
      <c r="D51">
        <v>1734622508</v>
      </c>
      <c r="N51">
        <v>1734624717</v>
      </c>
      <c r="O51">
        <v>551400</v>
      </c>
    </row>
    <row r="52" spans="4:15" x14ac:dyDescent="0.25">
      <c r="D52">
        <v>1734624674</v>
      </c>
      <c r="N52">
        <v>1734624667</v>
      </c>
      <c r="O52">
        <v>551402</v>
      </c>
    </row>
    <row r="53" spans="4:15" x14ac:dyDescent="0.25">
      <c r="D53">
        <v>1734622516</v>
      </c>
      <c r="N53">
        <v>1734624680</v>
      </c>
      <c r="O53">
        <v>551402</v>
      </c>
    </row>
    <row r="54" spans="4:15" x14ac:dyDescent="0.25">
      <c r="D54">
        <v>1734624637</v>
      </c>
      <c r="N54">
        <v>1734624636</v>
      </c>
      <c r="O54">
        <v>551375</v>
      </c>
    </row>
    <row r="55" spans="4:15" x14ac:dyDescent="0.25">
      <c r="D55">
        <v>1734622513</v>
      </c>
      <c r="N55">
        <v>1734624715</v>
      </c>
      <c r="O55">
        <v>551400</v>
      </c>
    </row>
    <row r="56" spans="4:15" x14ac:dyDescent="0.25">
      <c r="D56">
        <v>1734624675</v>
      </c>
      <c r="N56">
        <v>1734624670</v>
      </c>
      <c r="O56">
        <v>551402</v>
      </c>
    </row>
    <row r="57" spans="4:15" x14ac:dyDescent="0.25">
      <c r="D57">
        <v>1709649674</v>
      </c>
      <c r="N57">
        <v>1734624657</v>
      </c>
      <c r="O57">
        <v>551402</v>
      </c>
    </row>
    <row r="58" spans="4:15" x14ac:dyDescent="0.25">
      <c r="D58">
        <v>1721859834</v>
      </c>
      <c r="N58">
        <v>1734624718</v>
      </c>
      <c r="O58">
        <v>551400</v>
      </c>
    </row>
    <row r="59" spans="4:15" x14ac:dyDescent="0.25">
      <c r="D59">
        <v>1725337590</v>
      </c>
      <c r="N59">
        <v>1734624639</v>
      </c>
      <c r="O59">
        <v>551375</v>
      </c>
    </row>
    <row r="60" spans="4:15" x14ac:dyDescent="0.25">
      <c r="D60">
        <v>1725337590</v>
      </c>
      <c r="N60">
        <v>1734624682</v>
      </c>
      <c r="O60">
        <v>551402</v>
      </c>
    </row>
    <row r="61" spans="4:15" x14ac:dyDescent="0.25">
      <c r="D61">
        <v>1725337590</v>
      </c>
      <c r="N61">
        <v>1734624660</v>
      </c>
      <c r="O61">
        <v>551402</v>
      </c>
    </row>
    <row r="62" spans="4:15" x14ac:dyDescent="0.25">
      <c r="D62">
        <v>1725337590</v>
      </c>
      <c r="N62">
        <v>1734624663</v>
      </c>
      <c r="O62">
        <v>551402</v>
      </c>
    </row>
    <row r="63" spans="4:15" x14ac:dyDescent="0.25">
      <c r="D63">
        <v>1725337590</v>
      </c>
      <c r="N63">
        <v>1734624685</v>
      </c>
      <c r="O63">
        <v>551402</v>
      </c>
    </row>
    <row r="64" spans="4:15" x14ac:dyDescent="0.25">
      <c r="D64">
        <v>1725337590</v>
      </c>
      <c r="N64">
        <v>1734624710</v>
      </c>
      <c r="O64">
        <v>551400</v>
      </c>
    </row>
    <row r="65" spans="4:15" x14ac:dyDescent="0.25">
      <c r="D65">
        <v>1725337590</v>
      </c>
      <c r="N65">
        <v>1734624714</v>
      </c>
      <c r="O65">
        <v>551400</v>
      </c>
    </row>
    <row r="66" spans="4:15" x14ac:dyDescent="0.25">
      <c r="D66">
        <v>1725337590</v>
      </c>
      <c r="N66">
        <v>1734624677</v>
      </c>
      <c r="O66">
        <v>551402</v>
      </c>
    </row>
    <row r="67" spans="4:15" x14ac:dyDescent="0.25">
      <c r="D67">
        <v>1725337588</v>
      </c>
      <c r="N67">
        <v>1734624654</v>
      </c>
      <c r="O67">
        <v>551402</v>
      </c>
    </row>
    <row r="68" spans="4:15" x14ac:dyDescent="0.25">
      <c r="D68">
        <v>1725337588</v>
      </c>
      <c r="N68">
        <v>1734624678</v>
      </c>
      <c r="O68">
        <v>551374</v>
      </c>
    </row>
    <row r="69" spans="4:15" x14ac:dyDescent="0.25">
      <c r="D69">
        <v>1725337588</v>
      </c>
      <c r="N69">
        <v>1734624713</v>
      </c>
      <c r="O69">
        <v>551400</v>
      </c>
    </row>
    <row r="70" spans="4:15" x14ac:dyDescent="0.25">
      <c r="D70">
        <v>1725337588</v>
      </c>
      <c r="N70">
        <v>1704283895</v>
      </c>
      <c r="O70">
        <v>369038</v>
      </c>
    </row>
    <row r="71" spans="4:15" x14ac:dyDescent="0.25">
      <c r="D71">
        <v>1725337588</v>
      </c>
      <c r="N71">
        <v>1705487947</v>
      </c>
      <c r="O71">
        <v>369038</v>
      </c>
    </row>
    <row r="72" spans="4:15" x14ac:dyDescent="0.25">
      <c r="D72">
        <v>1725337588</v>
      </c>
      <c r="N72">
        <v>1706309641</v>
      </c>
      <c r="O72">
        <v>369038</v>
      </c>
    </row>
    <row r="73" spans="4:15" x14ac:dyDescent="0.25">
      <c r="D73">
        <v>1725337588</v>
      </c>
      <c r="N73">
        <v>1707275474</v>
      </c>
      <c r="O73">
        <v>369038</v>
      </c>
    </row>
    <row r="74" spans="4:15" x14ac:dyDescent="0.25">
      <c r="D74">
        <v>1725337590</v>
      </c>
      <c r="N74">
        <v>1708345664</v>
      </c>
      <c r="O74">
        <v>369038</v>
      </c>
    </row>
    <row r="75" spans="4:15" x14ac:dyDescent="0.25">
      <c r="D75">
        <v>1725337590</v>
      </c>
      <c r="N75">
        <v>1709649665</v>
      </c>
      <c r="O75">
        <v>369038</v>
      </c>
    </row>
    <row r="76" spans="4:15" x14ac:dyDescent="0.25">
      <c r="D76">
        <v>1725337590</v>
      </c>
      <c r="N76">
        <v>1710390415</v>
      </c>
      <c r="O76">
        <v>369038</v>
      </c>
    </row>
    <row r="77" spans="4:15" x14ac:dyDescent="0.25">
      <c r="D77">
        <v>1725337590</v>
      </c>
      <c r="N77">
        <v>1711572936</v>
      </c>
      <c r="O77">
        <v>369038</v>
      </c>
    </row>
    <row r="78" spans="4:15" x14ac:dyDescent="0.25">
      <c r="D78">
        <v>1725337590</v>
      </c>
      <c r="N78">
        <v>1712757847</v>
      </c>
      <c r="O78">
        <v>369038</v>
      </c>
    </row>
    <row r="79" spans="4:15" x14ac:dyDescent="0.25">
      <c r="D79">
        <v>1725337590</v>
      </c>
      <c r="N79">
        <v>1714404908</v>
      </c>
      <c r="O79">
        <v>369038</v>
      </c>
    </row>
    <row r="80" spans="4:15" x14ac:dyDescent="0.25">
      <c r="D80">
        <v>1725337590</v>
      </c>
      <c r="N80">
        <v>1715446336</v>
      </c>
      <c r="O80">
        <v>369038</v>
      </c>
    </row>
    <row r="81" spans="4:15" x14ac:dyDescent="0.25">
      <c r="D81">
        <v>1725337590</v>
      </c>
      <c r="N81">
        <v>1716342311</v>
      </c>
      <c r="O81">
        <v>369038</v>
      </c>
    </row>
    <row r="82" spans="4:15" x14ac:dyDescent="0.25">
      <c r="D82">
        <v>1725337588</v>
      </c>
      <c r="N82">
        <v>1717299750</v>
      </c>
      <c r="O82">
        <v>369038</v>
      </c>
    </row>
    <row r="83" spans="4:15" x14ac:dyDescent="0.25">
      <c r="D83">
        <v>1725337588</v>
      </c>
      <c r="N83">
        <v>1718368860</v>
      </c>
      <c r="O83">
        <v>369038</v>
      </c>
    </row>
    <row r="84" spans="4:15" x14ac:dyDescent="0.25">
      <c r="D84">
        <v>1725337588</v>
      </c>
      <c r="N84">
        <v>1719434901</v>
      </c>
      <c r="O84">
        <v>369038</v>
      </c>
    </row>
    <row r="85" spans="4:15" x14ac:dyDescent="0.25">
      <c r="D85">
        <v>1725337588</v>
      </c>
      <c r="N85">
        <v>1721889032</v>
      </c>
      <c r="O85">
        <v>369038</v>
      </c>
    </row>
    <row r="86" spans="4:15" x14ac:dyDescent="0.25">
      <c r="D86">
        <v>1725337588</v>
      </c>
      <c r="N86">
        <v>1723352923</v>
      </c>
      <c r="O86">
        <v>369038</v>
      </c>
    </row>
    <row r="87" spans="4:15" x14ac:dyDescent="0.25">
      <c r="D87">
        <v>1725337588</v>
      </c>
      <c r="N87">
        <v>1725337486</v>
      </c>
      <c r="O87">
        <v>369038</v>
      </c>
    </row>
    <row r="88" spans="4:15" x14ac:dyDescent="0.25">
      <c r="D88">
        <v>1725337588</v>
      </c>
      <c r="N88">
        <v>1734624707</v>
      </c>
      <c r="O88">
        <v>551400</v>
      </c>
    </row>
    <row r="89" spans="4:15" x14ac:dyDescent="0.25">
      <c r="D89">
        <v>1725337588</v>
      </c>
      <c r="N89">
        <v>1734624704</v>
      </c>
      <c r="O89">
        <v>551400</v>
      </c>
    </row>
    <row r="90" spans="4:15" x14ac:dyDescent="0.25">
      <c r="D90">
        <v>1725337590</v>
      </c>
      <c r="N90">
        <v>1734624643</v>
      </c>
      <c r="O90">
        <v>551375</v>
      </c>
    </row>
    <row r="91" spans="4:15" x14ac:dyDescent="0.25">
      <c r="D91">
        <v>1725337590</v>
      </c>
      <c r="N91">
        <v>1734622496</v>
      </c>
      <c r="O91">
        <v>369053</v>
      </c>
    </row>
    <row r="92" spans="4:15" x14ac:dyDescent="0.25">
      <c r="D92">
        <v>1725337590</v>
      </c>
      <c r="N92">
        <v>1734624706</v>
      </c>
      <c r="O92">
        <v>551400</v>
      </c>
    </row>
    <row r="93" spans="4:15" x14ac:dyDescent="0.25">
      <c r="D93">
        <v>1725337590</v>
      </c>
      <c r="N93">
        <v>1734624630</v>
      </c>
      <c r="O93">
        <v>551404</v>
      </c>
    </row>
    <row r="94" spans="4:15" x14ac:dyDescent="0.25">
      <c r="D94">
        <v>1725337590</v>
      </c>
      <c r="N94">
        <v>1734624674</v>
      </c>
      <c r="O94">
        <v>551374</v>
      </c>
    </row>
    <row r="95" spans="4:15" x14ac:dyDescent="0.25">
      <c r="D95">
        <v>1725337590</v>
      </c>
      <c r="N95">
        <v>1734624675</v>
      </c>
      <c r="O95">
        <v>551374</v>
      </c>
    </row>
    <row r="96" spans="4:15" x14ac:dyDescent="0.25">
      <c r="D96">
        <v>1725337590</v>
      </c>
      <c r="N96">
        <v>1734622519</v>
      </c>
      <c r="O96">
        <v>369050</v>
      </c>
    </row>
    <row r="97" spans="4:15" x14ac:dyDescent="0.25">
      <c r="D97">
        <v>1725337590</v>
      </c>
      <c r="N97">
        <v>1734624671</v>
      </c>
      <c r="O97">
        <v>551374</v>
      </c>
    </row>
    <row r="98" spans="4:15" x14ac:dyDescent="0.25">
      <c r="D98">
        <v>1725337588</v>
      </c>
      <c r="N98">
        <v>1734624631</v>
      </c>
      <c r="O98">
        <v>551404</v>
      </c>
    </row>
    <row r="99" spans="4:15" x14ac:dyDescent="0.25">
      <c r="D99">
        <v>1725337588</v>
      </c>
      <c r="N99">
        <v>1734624637</v>
      </c>
      <c r="O99">
        <v>551404</v>
      </c>
    </row>
    <row r="100" spans="4:15" x14ac:dyDescent="0.25">
      <c r="D100">
        <v>1725337588</v>
      </c>
      <c r="N100">
        <v>1734624741</v>
      </c>
      <c r="O100">
        <v>551389</v>
      </c>
    </row>
    <row r="101" spans="4:15" x14ac:dyDescent="0.25">
      <c r="D101">
        <v>1725337588</v>
      </c>
      <c r="N101">
        <v>1734622555</v>
      </c>
      <c r="O101">
        <v>369038</v>
      </c>
    </row>
    <row r="102" spans="4:15" x14ac:dyDescent="0.25">
      <c r="D102">
        <v>1725337588</v>
      </c>
      <c r="N102">
        <v>1734624733</v>
      </c>
      <c r="O102">
        <v>551389</v>
      </c>
    </row>
    <row r="103" spans="4:15" x14ac:dyDescent="0.25">
      <c r="D103">
        <v>1725337588</v>
      </c>
      <c r="N103">
        <v>1734622521</v>
      </c>
      <c r="O103">
        <v>369041</v>
      </c>
    </row>
    <row r="104" spans="4:15" x14ac:dyDescent="0.25">
      <c r="D104">
        <v>1725337588</v>
      </c>
      <c r="N104">
        <v>1734624743</v>
      </c>
      <c r="O104">
        <v>551389</v>
      </c>
    </row>
    <row r="105" spans="4:15" x14ac:dyDescent="0.25">
      <c r="D105">
        <v>1725337590</v>
      </c>
      <c r="N105">
        <v>1734622507</v>
      </c>
      <c r="O105">
        <v>369050</v>
      </c>
    </row>
    <row r="106" spans="4:15" x14ac:dyDescent="0.25">
      <c r="D106">
        <v>1725337590</v>
      </c>
      <c r="N106">
        <v>1734624749</v>
      </c>
      <c r="O106">
        <v>551389</v>
      </c>
    </row>
    <row r="107" spans="4:15" x14ac:dyDescent="0.25">
      <c r="D107">
        <v>1725337590</v>
      </c>
      <c r="N107">
        <v>1734624717</v>
      </c>
      <c r="O107">
        <v>551400</v>
      </c>
    </row>
    <row r="108" spans="4:15" x14ac:dyDescent="0.25">
      <c r="D108">
        <v>1725337590</v>
      </c>
      <c r="N108">
        <v>1734624757</v>
      </c>
      <c r="O108">
        <v>551389</v>
      </c>
    </row>
    <row r="109" spans="4:15" x14ac:dyDescent="0.25">
      <c r="D109">
        <v>1725337590</v>
      </c>
      <c r="N109">
        <v>1734622538</v>
      </c>
      <c r="O109">
        <v>369038</v>
      </c>
    </row>
    <row r="110" spans="4:15" x14ac:dyDescent="0.25">
      <c r="D110">
        <v>1725337590</v>
      </c>
      <c r="N110">
        <v>1734622511</v>
      </c>
      <c r="O110">
        <v>369050</v>
      </c>
    </row>
    <row r="111" spans="4:15" x14ac:dyDescent="0.25">
      <c r="D111">
        <v>1725337590</v>
      </c>
      <c r="N111">
        <v>1734624709</v>
      </c>
      <c r="O111">
        <v>551400</v>
      </c>
    </row>
    <row r="112" spans="4:15" x14ac:dyDescent="0.25">
      <c r="D112">
        <v>1725337590</v>
      </c>
      <c r="N112">
        <v>1734624729</v>
      </c>
      <c r="O112">
        <v>551389</v>
      </c>
    </row>
    <row r="113" spans="4:15" x14ac:dyDescent="0.25">
      <c r="D113">
        <v>1725337588</v>
      </c>
      <c r="N113">
        <v>1734624755</v>
      </c>
      <c r="O113">
        <v>551389</v>
      </c>
    </row>
    <row r="114" spans="4:15" x14ac:dyDescent="0.25">
      <c r="D114">
        <v>1725337588</v>
      </c>
      <c r="N114">
        <v>1734624723</v>
      </c>
      <c r="O114">
        <v>551389</v>
      </c>
    </row>
    <row r="115" spans="4:15" x14ac:dyDescent="0.25">
      <c r="D115">
        <v>1725337588</v>
      </c>
      <c r="N115">
        <v>1734624725</v>
      </c>
      <c r="O115">
        <v>551389</v>
      </c>
    </row>
    <row r="116" spans="4:15" x14ac:dyDescent="0.25">
      <c r="D116">
        <v>1725337588</v>
      </c>
      <c r="N116">
        <v>1734624636</v>
      </c>
      <c r="O116">
        <v>551375</v>
      </c>
    </row>
    <row r="117" spans="4:15" x14ac:dyDescent="0.25">
      <c r="D117">
        <v>1725337588</v>
      </c>
      <c r="N117">
        <v>1734624715</v>
      </c>
      <c r="O117">
        <v>551400</v>
      </c>
    </row>
    <row r="118" spans="4:15" x14ac:dyDescent="0.25">
      <c r="D118">
        <v>1725337588</v>
      </c>
      <c r="N118">
        <v>1734624747</v>
      </c>
      <c r="O118">
        <v>551389</v>
      </c>
    </row>
    <row r="119" spans="4:15" x14ac:dyDescent="0.25">
      <c r="D119">
        <v>1725337588</v>
      </c>
      <c r="N119">
        <v>1734624718</v>
      </c>
      <c r="O119">
        <v>551400</v>
      </c>
    </row>
    <row r="120" spans="4:15" x14ac:dyDescent="0.25">
      <c r="D120">
        <v>1725337588</v>
      </c>
      <c r="N120">
        <v>1734624639</v>
      </c>
      <c r="O120">
        <v>551375</v>
      </c>
    </row>
    <row r="121" spans="4:15" x14ac:dyDescent="0.25">
      <c r="D121">
        <v>1725337589</v>
      </c>
      <c r="N121">
        <v>1734624632</v>
      </c>
      <c r="O121">
        <v>551375</v>
      </c>
    </row>
    <row r="122" spans="4:15" x14ac:dyDescent="0.25">
      <c r="D122">
        <v>1725337594</v>
      </c>
      <c r="N122">
        <v>1734624727</v>
      </c>
      <c r="O122">
        <v>551389</v>
      </c>
    </row>
    <row r="123" spans="4:15" x14ac:dyDescent="0.25">
      <c r="D123">
        <v>1725337591</v>
      </c>
      <c r="N123">
        <v>1734622499</v>
      </c>
      <c r="O123">
        <v>369053</v>
      </c>
    </row>
    <row r="124" spans="4:15" x14ac:dyDescent="0.25">
      <c r="N124">
        <v>1734624710</v>
      </c>
      <c r="O124">
        <v>551400</v>
      </c>
    </row>
    <row r="125" spans="4:15" x14ac:dyDescent="0.25">
      <c r="N125">
        <v>1734624739</v>
      </c>
      <c r="O125">
        <v>551389</v>
      </c>
    </row>
    <row r="126" spans="4:15" x14ac:dyDescent="0.25">
      <c r="N126">
        <v>1734622550</v>
      </c>
      <c r="O126">
        <v>369038</v>
      </c>
    </row>
    <row r="127" spans="4:15" x14ac:dyDescent="0.25">
      <c r="N127">
        <v>1734624737</v>
      </c>
      <c r="O127">
        <v>551389</v>
      </c>
    </row>
    <row r="128" spans="4:15" x14ac:dyDescent="0.25">
      <c r="N128">
        <v>1734624714</v>
      </c>
      <c r="O128">
        <v>551400</v>
      </c>
    </row>
    <row r="129" spans="14:15" x14ac:dyDescent="0.25">
      <c r="N129">
        <v>1734622517</v>
      </c>
      <c r="O129">
        <v>369041</v>
      </c>
    </row>
    <row r="130" spans="14:15" x14ac:dyDescent="0.25">
      <c r="N130">
        <v>1734622505</v>
      </c>
      <c r="O130">
        <v>369041</v>
      </c>
    </row>
    <row r="131" spans="14:15" x14ac:dyDescent="0.25">
      <c r="N131">
        <v>1734624753</v>
      </c>
      <c r="O131">
        <v>551389</v>
      </c>
    </row>
    <row r="132" spans="14:15" x14ac:dyDescent="0.25">
      <c r="N132">
        <v>1734624745</v>
      </c>
      <c r="O132">
        <v>551389</v>
      </c>
    </row>
    <row r="133" spans="14:15" x14ac:dyDescent="0.25">
      <c r="N133">
        <v>1734624735</v>
      </c>
      <c r="O133">
        <v>551389</v>
      </c>
    </row>
    <row r="134" spans="14:15" x14ac:dyDescent="0.25">
      <c r="N134">
        <v>1734624751</v>
      </c>
      <c r="O134">
        <v>551389</v>
      </c>
    </row>
    <row r="135" spans="14:15" x14ac:dyDescent="0.25">
      <c r="N135">
        <v>1734624731</v>
      </c>
      <c r="O135">
        <v>551389</v>
      </c>
    </row>
    <row r="136" spans="14:15" x14ac:dyDescent="0.25">
      <c r="N136">
        <v>1734624713</v>
      </c>
      <c r="O136">
        <v>551400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E5B65-3E90-4156-9A03-D5963BBF6DFB}">
  <dimension ref="K20"/>
  <sheetViews>
    <sheetView workbookViewId="0">
      <selection activeCell="G27" sqref="G27"/>
    </sheetView>
  </sheetViews>
  <sheetFormatPr defaultRowHeight="15" x14ac:dyDescent="0.25"/>
  <sheetData>
    <row r="20" spans="11:11" x14ac:dyDescent="0.25">
      <c r="K20" t="s">
        <v>197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13B22-62F4-4DA2-8A11-432DDA02F694}">
  <dimension ref="A1:P64"/>
  <sheetViews>
    <sheetView tabSelected="1" topLeftCell="A29" workbookViewId="0">
      <selection activeCell="P20" sqref="P20:P64"/>
    </sheetView>
  </sheetViews>
  <sheetFormatPr defaultRowHeight="15" x14ac:dyDescent="0.25"/>
  <cols>
    <col min="1" max="1" width="27" customWidth="1"/>
    <col min="2" max="2" width="32" customWidth="1"/>
    <col min="3" max="3" width="23" style="6" customWidth="1"/>
    <col min="4" max="4" width="15" customWidth="1"/>
    <col min="5" max="5" width="20.140625" customWidth="1"/>
    <col min="6" max="6" width="28" customWidth="1"/>
    <col min="7" max="7" width="22" customWidth="1"/>
    <col min="16" max="16" width="40" customWidth="1"/>
  </cols>
  <sheetData>
    <row r="1" spans="1:16" x14ac:dyDescent="0.25">
      <c r="A1" s="1" t="s">
        <v>0</v>
      </c>
      <c r="B1" s="1" t="s">
        <v>1</v>
      </c>
      <c r="C1" s="5" t="s">
        <v>2</v>
      </c>
      <c r="D1" s="1"/>
      <c r="E1" s="1"/>
      <c r="F1" s="1" t="s">
        <v>3</v>
      </c>
      <c r="G1" s="1" t="s">
        <v>4</v>
      </c>
    </row>
    <row r="2" spans="1:16" x14ac:dyDescent="0.25">
      <c r="A2">
        <v>1734624722</v>
      </c>
      <c r="B2">
        <v>1704283890</v>
      </c>
      <c r="C2" s="6">
        <v>-3102567.09</v>
      </c>
      <c r="F2" t="s">
        <v>5</v>
      </c>
      <c r="G2" t="s">
        <v>108</v>
      </c>
      <c r="I2" t="str">
        <f>F2&amp;","&amp;G2</f>
        <v>1734624722, 1704283890,[Per Suspense SOP]</v>
      </c>
      <c r="P2" s="4" t="s">
        <v>109</v>
      </c>
    </row>
    <row r="3" spans="1:16" x14ac:dyDescent="0.25">
      <c r="A3">
        <v>1734624724</v>
      </c>
      <c r="B3">
        <v>1705487944</v>
      </c>
      <c r="C3" s="6">
        <v>-2452621.69</v>
      </c>
      <c r="F3" t="s">
        <v>6</v>
      </c>
      <c r="G3" t="s">
        <v>108</v>
      </c>
      <c r="I3" t="str">
        <f t="shared" ref="I3:I51" si="0">F3&amp;","&amp;G3</f>
        <v>1734624724, 1705487944,[Per Suspense SOP]</v>
      </c>
      <c r="P3" s="4" t="s">
        <v>110</v>
      </c>
    </row>
    <row r="4" spans="1:16" x14ac:dyDescent="0.25">
      <c r="A4">
        <v>1734624726</v>
      </c>
      <c r="B4">
        <v>1706309646</v>
      </c>
      <c r="C4" s="6">
        <v>-5072833.3499999996</v>
      </c>
      <c r="F4" t="s">
        <v>7</v>
      </c>
      <c r="G4" t="s">
        <v>108</v>
      </c>
      <c r="I4" t="str">
        <f t="shared" si="0"/>
        <v>1734624726, 1706309646,[Per Suspense SOP]</v>
      </c>
      <c r="P4" s="4" t="s">
        <v>111</v>
      </c>
    </row>
    <row r="5" spans="1:16" x14ac:dyDescent="0.25">
      <c r="A5">
        <v>1734624728</v>
      </c>
      <c r="B5">
        <v>1707275479</v>
      </c>
      <c r="C5" s="6">
        <v>-50350316.75</v>
      </c>
      <c r="F5" t="s">
        <v>8</v>
      </c>
      <c r="G5" t="s">
        <v>108</v>
      </c>
      <c r="I5" t="str">
        <f t="shared" si="0"/>
        <v>1734624728, 1707275479,[Per Suspense SOP]</v>
      </c>
      <c r="P5" s="4" t="s">
        <v>112</v>
      </c>
    </row>
    <row r="6" spans="1:16" x14ac:dyDescent="0.25">
      <c r="A6">
        <v>1734624730</v>
      </c>
      <c r="B6">
        <v>1708345659</v>
      </c>
      <c r="C6" s="6">
        <v>-4694670.12</v>
      </c>
      <c r="F6" t="s">
        <v>9</v>
      </c>
      <c r="G6" t="s">
        <v>108</v>
      </c>
      <c r="I6" t="str">
        <f t="shared" si="0"/>
        <v>1734624730, 1708345659,[Per Suspense SOP]</v>
      </c>
      <c r="P6" s="4" t="s">
        <v>113</v>
      </c>
    </row>
    <row r="7" spans="1:16" x14ac:dyDescent="0.25">
      <c r="A7">
        <v>1734624732</v>
      </c>
      <c r="B7">
        <v>1709649663</v>
      </c>
      <c r="C7" s="6">
        <v>-4590075.28</v>
      </c>
      <c r="F7" t="s">
        <v>10</v>
      </c>
      <c r="G7" t="s">
        <v>108</v>
      </c>
      <c r="I7" t="str">
        <f t="shared" si="0"/>
        <v>1734624732, 1709649663,[Per Suspense SOP]</v>
      </c>
      <c r="P7" s="4" t="s">
        <v>114</v>
      </c>
    </row>
    <row r="8" spans="1:16" x14ac:dyDescent="0.25">
      <c r="A8">
        <v>1734624734</v>
      </c>
      <c r="B8">
        <v>1710390417</v>
      </c>
      <c r="C8" s="6">
        <v>-14078263.67</v>
      </c>
      <c r="F8" t="s">
        <v>11</v>
      </c>
      <c r="G8" t="s">
        <v>108</v>
      </c>
      <c r="I8" t="str">
        <f t="shared" si="0"/>
        <v>1734624734, 1710390417,[Per Suspense SOP]</v>
      </c>
      <c r="P8" s="4" t="s">
        <v>115</v>
      </c>
    </row>
    <row r="9" spans="1:16" x14ac:dyDescent="0.25">
      <c r="A9">
        <v>1734624736</v>
      </c>
      <c r="B9">
        <v>1711572938</v>
      </c>
      <c r="C9" s="6">
        <v>-14480161.800000001</v>
      </c>
      <c r="F9" t="s">
        <v>12</v>
      </c>
      <c r="G9" t="s">
        <v>108</v>
      </c>
      <c r="I9" t="str">
        <f t="shared" si="0"/>
        <v>1734624736, 1711572938,[Per Suspense SOP]</v>
      </c>
      <c r="P9" s="4" t="s">
        <v>116</v>
      </c>
    </row>
    <row r="10" spans="1:16" x14ac:dyDescent="0.25">
      <c r="A10">
        <v>1734624738</v>
      </c>
      <c r="B10">
        <v>1712757849</v>
      </c>
      <c r="C10" s="6">
        <v>-4169411.46</v>
      </c>
      <c r="F10" t="s">
        <v>13</v>
      </c>
      <c r="G10" t="s">
        <v>108</v>
      </c>
      <c r="I10" t="str">
        <f t="shared" si="0"/>
        <v>1734624738, 1712757849,[Per Suspense SOP]</v>
      </c>
      <c r="P10" s="4" t="s">
        <v>117</v>
      </c>
    </row>
    <row r="11" spans="1:16" x14ac:dyDescent="0.25">
      <c r="A11">
        <v>1734624740</v>
      </c>
      <c r="B11">
        <v>1714404903</v>
      </c>
      <c r="C11" s="6">
        <v>-4169771.29</v>
      </c>
      <c r="F11" t="s">
        <v>14</v>
      </c>
      <c r="G11" t="s">
        <v>108</v>
      </c>
      <c r="I11" t="str">
        <f t="shared" si="0"/>
        <v>1734624740, 1714404903,[Per Suspense SOP]</v>
      </c>
      <c r="P11" s="4" t="s">
        <v>118</v>
      </c>
    </row>
    <row r="12" spans="1:16" x14ac:dyDescent="0.25">
      <c r="A12">
        <v>1734624742</v>
      </c>
      <c r="B12">
        <v>1715446330</v>
      </c>
      <c r="C12" s="6">
        <v>-20070850.859999999</v>
      </c>
      <c r="F12" t="s">
        <v>15</v>
      </c>
      <c r="G12" t="s">
        <v>108</v>
      </c>
      <c r="I12" t="str">
        <f t="shared" si="0"/>
        <v>1734624742, 1715446330,[Per Suspense SOP]</v>
      </c>
      <c r="P12" s="4" t="s">
        <v>119</v>
      </c>
    </row>
    <row r="13" spans="1:16" x14ac:dyDescent="0.25">
      <c r="A13">
        <v>1734624744</v>
      </c>
      <c r="B13">
        <v>1716342294</v>
      </c>
      <c r="C13" s="6">
        <v>-57592583</v>
      </c>
      <c r="F13" t="s">
        <v>16</v>
      </c>
      <c r="G13" t="s">
        <v>108</v>
      </c>
      <c r="I13" t="str">
        <f t="shared" si="0"/>
        <v>1734624744, 1716342294,[Per Suspense SOP]</v>
      </c>
      <c r="P13" s="4" t="s">
        <v>120</v>
      </c>
    </row>
    <row r="14" spans="1:16" x14ac:dyDescent="0.25">
      <c r="A14">
        <v>1734624746</v>
      </c>
      <c r="B14">
        <v>1717299757</v>
      </c>
      <c r="C14" s="6">
        <v>-6257441.9500000002</v>
      </c>
      <c r="F14" t="s">
        <v>17</v>
      </c>
      <c r="G14" t="s">
        <v>108</v>
      </c>
      <c r="I14" t="str">
        <f t="shared" si="0"/>
        <v>1734624746, 1717299757,[Per Suspense SOP]</v>
      </c>
      <c r="P14" s="4" t="s">
        <v>121</v>
      </c>
    </row>
    <row r="15" spans="1:16" x14ac:dyDescent="0.25">
      <c r="A15">
        <v>1734624748</v>
      </c>
      <c r="B15">
        <v>1718368862</v>
      </c>
      <c r="C15" s="6">
        <v>-15512681.98</v>
      </c>
      <c r="F15" t="s">
        <v>18</v>
      </c>
      <c r="G15" t="s">
        <v>108</v>
      </c>
      <c r="I15" t="str">
        <f t="shared" si="0"/>
        <v>1734624748, 1718368862,[Per Suspense SOP]</v>
      </c>
      <c r="P15" s="4" t="s">
        <v>122</v>
      </c>
    </row>
    <row r="16" spans="1:16" x14ac:dyDescent="0.25">
      <c r="A16">
        <v>1734624750</v>
      </c>
      <c r="B16">
        <v>1719434897</v>
      </c>
      <c r="C16" s="6">
        <v>-4131731.86</v>
      </c>
      <c r="F16" t="s">
        <v>19</v>
      </c>
      <c r="G16" t="s">
        <v>108</v>
      </c>
      <c r="I16" t="str">
        <f t="shared" si="0"/>
        <v>1734624750, 1719434897,[Per Suspense SOP]</v>
      </c>
      <c r="P16" s="4" t="s">
        <v>123</v>
      </c>
    </row>
    <row r="17" spans="1:16" x14ac:dyDescent="0.25">
      <c r="A17">
        <v>1734624752</v>
      </c>
      <c r="B17">
        <v>1721888997</v>
      </c>
      <c r="C17" s="6">
        <v>-13833801.58</v>
      </c>
      <c r="F17" t="s">
        <v>20</v>
      </c>
      <c r="G17" t="s">
        <v>108</v>
      </c>
      <c r="I17" t="str">
        <f t="shared" si="0"/>
        <v>1734624752, 1721888997,[Per Suspense SOP]</v>
      </c>
      <c r="P17" s="4" t="s">
        <v>124</v>
      </c>
    </row>
    <row r="18" spans="1:16" x14ac:dyDescent="0.25">
      <c r="A18">
        <v>1734624754</v>
      </c>
      <c r="B18">
        <v>1723352921</v>
      </c>
      <c r="C18" s="6">
        <v>-9450995.4600000009</v>
      </c>
      <c r="F18" t="s">
        <v>21</v>
      </c>
      <c r="G18" t="s">
        <v>108</v>
      </c>
      <c r="I18" t="str">
        <f t="shared" si="0"/>
        <v>1734624754, 1723352921,[Per Suspense SOP]</v>
      </c>
      <c r="P18" s="4" t="s">
        <v>125</v>
      </c>
    </row>
    <row r="19" spans="1:16" x14ac:dyDescent="0.25">
      <c r="A19">
        <v>1734624756</v>
      </c>
      <c r="B19">
        <v>1725337484</v>
      </c>
      <c r="C19" s="6">
        <v>-9451811.0899999999</v>
      </c>
      <c r="F19" t="s">
        <v>22</v>
      </c>
      <c r="G19" t="s">
        <v>108</v>
      </c>
      <c r="I19" t="str">
        <f t="shared" si="0"/>
        <v>1734624756, 1725337484,[Per Suspense SOP]</v>
      </c>
      <c r="P19" s="4" t="s">
        <v>126</v>
      </c>
    </row>
    <row r="20" spans="1:16" x14ac:dyDescent="0.25">
      <c r="A20" s="7">
        <v>1734624704</v>
      </c>
      <c r="B20" s="7">
        <v>1734622500</v>
      </c>
      <c r="C20" s="8">
        <v>-44500000</v>
      </c>
      <c r="D20" s="7"/>
      <c r="E20" s="7"/>
      <c r="F20" s="7" t="s">
        <v>24</v>
      </c>
      <c r="G20" s="7" t="s">
        <v>108</v>
      </c>
      <c r="H20" s="7"/>
      <c r="I20" s="7" t="str">
        <f t="shared" si="0"/>
        <v>1734624704, 1734622500,[Per Suspense SOP]</v>
      </c>
      <c r="J20" s="7"/>
      <c r="K20" s="7"/>
      <c r="L20" s="7"/>
      <c r="M20" s="7"/>
      <c r="N20" s="7"/>
      <c r="O20" s="7"/>
      <c r="P20" s="7" t="s">
        <v>128</v>
      </c>
    </row>
    <row r="21" spans="1:16" x14ac:dyDescent="0.25">
      <c r="A21">
        <v>1734624706</v>
      </c>
      <c r="B21">
        <v>1734622507</v>
      </c>
      <c r="C21" s="6">
        <v>-2000000</v>
      </c>
      <c r="D21">
        <f>VLOOKUP(A21,Sheet1!$N$4:$O$136,2,FALSE)</f>
        <v>551400</v>
      </c>
      <c r="E21">
        <f>VLOOKUP(B21,Sheet1!$N$4:$O$136,2,FALSE)</f>
        <v>369050</v>
      </c>
      <c r="F21" t="s">
        <v>25</v>
      </c>
      <c r="G21" t="s">
        <v>108</v>
      </c>
      <c r="I21" t="str">
        <f t="shared" si="0"/>
        <v>1734624706, 1734622507,[Per Suspense SOP]</v>
      </c>
      <c r="P21" t="s">
        <v>129</v>
      </c>
    </row>
    <row r="22" spans="1:16" x14ac:dyDescent="0.25">
      <c r="A22">
        <v>1734624707</v>
      </c>
      <c r="B22">
        <v>1734622511</v>
      </c>
      <c r="C22" s="6">
        <v>-3700000</v>
      </c>
      <c r="D22">
        <f>VLOOKUP(A22,Sheet1!$N$4:$O$136,2,FALSE)</f>
        <v>551400</v>
      </c>
      <c r="E22">
        <f>VLOOKUP(B22,Sheet1!$N$4:$O$136,2,FALSE)</f>
        <v>369050</v>
      </c>
      <c r="F22" t="s">
        <v>27</v>
      </c>
      <c r="G22" t="s">
        <v>108</v>
      </c>
      <c r="I22" t="str">
        <f t="shared" si="0"/>
        <v>1734624707, 1734622511,[Per Suspense SOP]</v>
      </c>
      <c r="P22" t="s">
        <v>131</v>
      </c>
    </row>
    <row r="23" spans="1:16" x14ac:dyDescent="0.25">
      <c r="A23">
        <v>1734624643</v>
      </c>
      <c r="B23">
        <v>1734622499</v>
      </c>
      <c r="C23" s="6">
        <v>-440000</v>
      </c>
      <c r="D23">
        <f>VLOOKUP(A23,Sheet1!$N$4:$O$136,2,FALSE)</f>
        <v>551375</v>
      </c>
      <c r="E23">
        <f>VLOOKUP(B23,Sheet1!$N$4:$O$136,2,FALSE)</f>
        <v>369053</v>
      </c>
      <c r="F23" t="s">
        <v>29</v>
      </c>
      <c r="G23" t="s">
        <v>108</v>
      </c>
      <c r="I23" t="str">
        <f t="shared" si="0"/>
        <v>1734624643, 1734622499,[Per Suspense SOP]</v>
      </c>
      <c r="P23" t="s">
        <v>133</v>
      </c>
    </row>
    <row r="24" spans="1:16" x14ac:dyDescent="0.25">
      <c r="A24">
        <v>1734624630</v>
      </c>
      <c r="B24">
        <v>1734622538</v>
      </c>
      <c r="C24" s="6">
        <v>-44055000</v>
      </c>
      <c r="D24">
        <f>VLOOKUP(A24,Sheet1!$N$4:$O$136,2,FALSE)</f>
        <v>551404</v>
      </c>
      <c r="E24">
        <f>VLOOKUP(B24,Sheet1!$N$4:$O$136,2,FALSE)</f>
        <v>369038</v>
      </c>
      <c r="F24" t="s">
        <v>32</v>
      </c>
      <c r="G24" t="s">
        <v>108</v>
      </c>
      <c r="I24" t="str">
        <f t="shared" si="0"/>
        <v>1734624630, 1734622538,[Per Suspense SOP]</v>
      </c>
      <c r="P24" t="s">
        <v>136</v>
      </c>
    </row>
    <row r="25" spans="1:16" x14ac:dyDescent="0.25">
      <c r="A25">
        <v>1734624631</v>
      </c>
      <c r="B25">
        <v>1734622550</v>
      </c>
      <c r="C25" s="6">
        <v>-1980000</v>
      </c>
      <c r="D25">
        <f>VLOOKUP(A25,Sheet1!$N$4:$O$136,2,FALSE)</f>
        <v>551404</v>
      </c>
      <c r="E25">
        <f>VLOOKUP(B25,Sheet1!$N$4:$O$136,2,FALSE)</f>
        <v>369038</v>
      </c>
      <c r="F25" t="s">
        <v>33</v>
      </c>
      <c r="G25" t="s">
        <v>108</v>
      </c>
      <c r="I25" t="str">
        <f t="shared" si="0"/>
        <v>1734624631, 1734622550,[Per Suspense SOP]</v>
      </c>
      <c r="P25" t="s">
        <v>137</v>
      </c>
    </row>
    <row r="26" spans="1:16" x14ac:dyDescent="0.25">
      <c r="A26">
        <v>1734624637</v>
      </c>
      <c r="B26">
        <v>1734622555</v>
      </c>
      <c r="C26" s="6">
        <v>-3663000</v>
      </c>
      <c r="D26">
        <f>VLOOKUP(A26,Sheet1!$N$4:$O$136,2,FALSE)</f>
        <v>551404</v>
      </c>
      <c r="E26">
        <f>VLOOKUP(B26,Sheet1!$N$4:$O$136,2,FALSE)</f>
        <v>369038</v>
      </c>
      <c r="F26" t="s">
        <v>35</v>
      </c>
      <c r="G26" t="s">
        <v>108</v>
      </c>
      <c r="I26" t="str">
        <f t="shared" si="0"/>
        <v>1734624637, 1734622555,[Per Suspense SOP]</v>
      </c>
      <c r="P26" t="s">
        <v>139</v>
      </c>
    </row>
    <row r="27" spans="1:16" x14ac:dyDescent="0.25">
      <c r="A27">
        <v>1734624671</v>
      </c>
      <c r="B27">
        <v>1734622505</v>
      </c>
      <c r="C27" s="6">
        <v>-445000</v>
      </c>
      <c r="D27">
        <f>VLOOKUP(A27,Sheet1!$N$4:$O$136,2,FALSE)</f>
        <v>551374</v>
      </c>
      <c r="E27">
        <f>VLOOKUP(B27,Sheet1!$N$4:$O$136,2,FALSE)</f>
        <v>369041</v>
      </c>
      <c r="F27" t="s">
        <v>38</v>
      </c>
      <c r="G27" t="s">
        <v>108</v>
      </c>
      <c r="I27" t="str">
        <f t="shared" si="0"/>
        <v>1734624671, 1734622505,[Per Suspense SOP]</v>
      </c>
      <c r="P27" t="s">
        <v>142</v>
      </c>
    </row>
    <row r="28" spans="1:16" x14ac:dyDescent="0.25">
      <c r="A28">
        <v>1734624674</v>
      </c>
      <c r="B28">
        <v>1734622517</v>
      </c>
      <c r="C28" s="6">
        <v>-20000</v>
      </c>
      <c r="D28">
        <f>VLOOKUP(A28,Sheet1!$N$4:$O$136,2,FALSE)</f>
        <v>551374</v>
      </c>
      <c r="E28">
        <f>VLOOKUP(B28,Sheet1!$N$4:$O$136,2,FALSE)</f>
        <v>369041</v>
      </c>
      <c r="F28" t="s">
        <v>39</v>
      </c>
      <c r="G28" t="s">
        <v>108</v>
      </c>
      <c r="I28" t="str">
        <f t="shared" si="0"/>
        <v>1734624674, 1734622517,[Per Suspense SOP]</v>
      </c>
      <c r="P28" t="s">
        <v>143</v>
      </c>
    </row>
    <row r="29" spans="1:16" x14ac:dyDescent="0.25">
      <c r="A29">
        <v>1734624675</v>
      </c>
      <c r="B29">
        <v>1734622521</v>
      </c>
      <c r="C29" s="6">
        <v>-37000</v>
      </c>
      <c r="D29">
        <f>VLOOKUP(A29,Sheet1!$N$4:$O$136,2,FALSE)</f>
        <v>551374</v>
      </c>
      <c r="E29">
        <f>VLOOKUP(B29,Sheet1!$N$4:$O$136,2,FALSE)</f>
        <v>369041</v>
      </c>
      <c r="F29" t="s">
        <v>41</v>
      </c>
      <c r="G29" t="s">
        <v>108</v>
      </c>
      <c r="I29" t="str">
        <f t="shared" si="0"/>
        <v>1734624675, 1734622521,[Per Suspense SOP]</v>
      </c>
      <c r="P29" t="s">
        <v>145</v>
      </c>
    </row>
    <row r="30" spans="1:16" x14ac:dyDescent="0.25">
      <c r="A30">
        <v>1704283895</v>
      </c>
      <c r="B30">
        <v>1734624723</v>
      </c>
      <c r="C30" s="6">
        <v>2452621.69</v>
      </c>
      <c r="D30">
        <f>VLOOKUP(A30,Sheet1!$N$4:$O$136,2,FALSE)</f>
        <v>369038</v>
      </c>
      <c r="E30">
        <f>VLOOKUP(B30,Sheet1!$N$4:$O$136,2,FALSE)</f>
        <v>551389</v>
      </c>
      <c r="F30" t="s">
        <v>43</v>
      </c>
      <c r="G30" t="s">
        <v>108</v>
      </c>
      <c r="I30" t="str">
        <f t="shared" si="0"/>
        <v>1704283895, 1734624723,[Per Suspense SOP]</v>
      </c>
      <c r="P30" t="s">
        <v>147</v>
      </c>
    </row>
    <row r="31" spans="1:16" x14ac:dyDescent="0.25">
      <c r="A31">
        <v>1705487947</v>
      </c>
      <c r="B31">
        <v>1734624725</v>
      </c>
      <c r="C31" s="6">
        <v>5072833.3499999996</v>
      </c>
      <c r="D31">
        <f>VLOOKUP(A31,Sheet1!$N$4:$O$136,2,FALSE)</f>
        <v>369038</v>
      </c>
      <c r="E31">
        <f>VLOOKUP(B31,Sheet1!$N$4:$O$136,2,FALSE)</f>
        <v>551389</v>
      </c>
      <c r="F31" t="s">
        <v>44</v>
      </c>
      <c r="G31" t="s">
        <v>108</v>
      </c>
      <c r="I31" t="str">
        <f t="shared" si="0"/>
        <v>1705487947, 1734624725,[Per Suspense SOP]</v>
      </c>
      <c r="P31" t="s">
        <v>148</v>
      </c>
    </row>
    <row r="32" spans="1:16" x14ac:dyDescent="0.25">
      <c r="A32">
        <v>1706309641</v>
      </c>
      <c r="B32">
        <v>1734624727</v>
      </c>
      <c r="C32" s="6">
        <v>50350316.75</v>
      </c>
      <c r="D32">
        <f>VLOOKUP(A32,Sheet1!$N$4:$O$136,2,FALSE)</f>
        <v>369038</v>
      </c>
      <c r="E32">
        <f>VLOOKUP(B32,Sheet1!$N$4:$O$136,2,FALSE)</f>
        <v>551389</v>
      </c>
      <c r="F32" t="s">
        <v>45</v>
      </c>
      <c r="G32" t="s">
        <v>108</v>
      </c>
      <c r="I32" t="str">
        <f t="shared" si="0"/>
        <v>1706309641, 1734624727,[Per Suspense SOP]</v>
      </c>
      <c r="P32" t="s">
        <v>149</v>
      </c>
    </row>
    <row r="33" spans="1:16" x14ac:dyDescent="0.25">
      <c r="A33">
        <v>1707275474</v>
      </c>
      <c r="B33">
        <v>1734624729</v>
      </c>
      <c r="C33" s="6">
        <v>4694670.12</v>
      </c>
      <c r="D33">
        <f>VLOOKUP(A33,Sheet1!$N$4:$O$136,2,FALSE)</f>
        <v>369038</v>
      </c>
      <c r="E33">
        <f>VLOOKUP(B33,Sheet1!$N$4:$O$136,2,FALSE)</f>
        <v>551389</v>
      </c>
      <c r="F33" t="s">
        <v>46</v>
      </c>
      <c r="G33" t="s">
        <v>108</v>
      </c>
      <c r="I33" t="str">
        <f t="shared" si="0"/>
        <v>1707275474, 1734624729,[Per Suspense SOP]</v>
      </c>
      <c r="P33" t="s">
        <v>150</v>
      </c>
    </row>
    <row r="34" spans="1:16" x14ac:dyDescent="0.25">
      <c r="A34">
        <v>1708345664</v>
      </c>
      <c r="B34">
        <v>1734624731</v>
      </c>
      <c r="C34" s="6">
        <v>4590075.28</v>
      </c>
      <c r="D34">
        <f>VLOOKUP(A34,Sheet1!$N$4:$O$136,2,FALSE)</f>
        <v>369038</v>
      </c>
      <c r="E34">
        <f>VLOOKUP(B34,Sheet1!$N$4:$O$136,2,FALSE)</f>
        <v>551389</v>
      </c>
      <c r="F34" t="s">
        <v>47</v>
      </c>
      <c r="G34" t="s">
        <v>108</v>
      </c>
      <c r="I34" t="str">
        <f t="shared" si="0"/>
        <v>1708345664, 1734624731,[Per Suspense SOP]</v>
      </c>
      <c r="P34" t="s">
        <v>151</v>
      </c>
    </row>
    <row r="35" spans="1:16" x14ac:dyDescent="0.25">
      <c r="A35">
        <v>1709649665</v>
      </c>
      <c r="B35">
        <v>1734624733</v>
      </c>
      <c r="C35" s="6">
        <v>14078263.67</v>
      </c>
      <c r="D35">
        <f>VLOOKUP(A35,Sheet1!$N$4:$O$136,2,FALSE)</f>
        <v>369038</v>
      </c>
      <c r="E35">
        <f>VLOOKUP(B35,Sheet1!$N$4:$O$136,2,FALSE)</f>
        <v>551389</v>
      </c>
      <c r="F35" t="s">
        <v>48</v>
      </c>
      <c r="G35" t="s">
        <v>108</v>
      </c>
      <c r="I35" t="str">
        <f t="shared" si="0"/>
        <v>1709649665, 1734624733,[Per Suspense SOP]</v>
      </c>
      <c r="P35" t="s">
        <v>152</v>
      </c>
    </row>
    <row r="36" spans="1:16" x14ac:dyDescent="0.25">
      <c r="A36">
        <v>1710390415</v>
      </c>
      <c r="B36">
        <v>1734624735</v>
      </c>
      <c r="C36" s="6">
        <v>14480161.800000001</v>
      </c>
      <c r="D36">
        <f>VLOOKUP(A36,Sheet1!$N$4:$O$136,2,FALSE)</f>
        <v>369038</v>
      </c>
      <c r="E36">
        <f>VLOOKUP(B36,Sheet1!$N$4:$O$136,2,FALSE)</f>
        <v>551389</v>
      </c>
      <c r="F36" t="s">
        <v>49</v>
      </c>
      <c r="G36" t="s">
        <v>108</v>
      </c>
      <c r="I36" t="str">
        <f t="shared" si="0"/>
        <v>1710390415, 1734624735,[Per Suspense SOP]</v>
      </c>
      <c r="P36" t="s">
        <v>153</v>
      </c>
    </row>
    <row r="37" spans="1:16" x14ac:dyDescent="0.25">
      <c r="A37">
        <v>1711572936</v>
      </c>
      <c r="B37">
        <v>1734624737</v>
      </c>
      <c r="C37" s="6">
        <v>4169411.46</v>
      </c>
      <c r="D37">
        <f>VLOOKUP(A37,Sheet1!$N$4:$O$136,2,FALSE)</f>
        <v>369038</v>
      </c>
      <c r="E37">
        <f>VLOOKUP(B37,Sheet1!$N$4:$O$136,2,FALSE)</f>
        <v>551389</v>
      </c>
      <c r="F37" t="s">
        <v>50</v>
      </c>
      <c r="G37" t="s">
        <v>108</v>
      </c>
      <c r="I37" t="str">
        <f t="shared" si="0"/>
        <v>1711572936, 1734624737,[Per Suspense SOP]</v>
      </c>
      <c r="P37" t="s">
        <v>154</v>
      </c>
    </row>
    <row r="38" spans="1:16" x14ac:dyDescent="0.25">
      <c r="A38">
        <v>1712757847</v>
      </c>
      <c r="B38">
        <v>1734624739</v>
      </c>
      <c r="C38" s="6">
        <v>4169771.29</v>
      </c>
      <c r="D38">
        <f>VLOOKUP(A38,Sheet1!$N$4:$O$136,2,FALSE)</f>
        <v>369038</v>
      </c>
      <c r="E38">
        <f>VLOOKUP(B38,Sheet1!$N$4:$O$136,2,FALSE)</f>
        <v>551389</v>
      </c>
      <c r="F38" t="s">
        <v>51</v>
      </c>
      <c r="G38" t="s">
        <v>108</v>
      </c>
      <c r="I38" t="str">
        <f t="shared" si="0"/>
        <v>1712757847, 1734624739,[Per Suspense SOP]</v>
      </c>
      <c r="P38" t="s">
        <v>155</v>
      </c>
    </row>
    <row r="39" spans="1:16" x14ac:dyDescent="0.25">
      <c r="A39">
        <v>1714404908</v>
      </c>
      <c r="B39">
        <v>1734624741</v>
      </c>
      <c r="C39" s="6">
        <v>20070850.859999999</v>
      </c>
      <c r="D39">
        <f>VLOOKUP(A39,Sheet1!$N$4:$O$136,2,FALSE)</f>
        <v>369038</v>
      </c>
      <c r="E39">
        <f>VLOOKUP(B39,Sheet1!$N$4:$O$136,2,FALSE)</f>
        <v>551389</v>
      </c>
      <c r="F39" t="s">
        <v>52</v>
      </c>
      <c r="G39" t="s">
        <v>108</v>
      </c>
      <c r="I39" t="str">
        <f t="shared" si="0"/>
        <v>1714404908, 1734624741,[Per Suspense SOP]</v>
      </c>
      <c r="P39" t="s">
        <v>156</v>
      </c>
    </row>
    <row r="40" spans="1:16" x14ac:dyDescent="0.25">
      <c r="A40">
        <v>1715446336</v>
      </c>
      <c r="B40">
        <v>1734624743</v>
      </c>
      <c r="C40" s="6">
        <v>57592583</v>
      </c>
      <c r="D40">
        <f>VLOOKUP(A40,Sheet1!$N$4:$O$136,2,FALSE)</f>
        <v>369038</v>
      </c>
      <c r="E40">
        <f>VLOOKUP(B40,Sheet1!$N$4:$O$136,2,FALSE)</f>
        <v>551389</v>
      </c>
      <c r="F40" t="s">
        <v>53</v>
      </c>
      <c r="G40" t="s">
        <v>108</v>
      </c>
      <c r="I40" t="str">
        <f t="shared" si="0"/>
        <v>1715446336, 1734624743,[Per Suspense SOP]</v>
      </c>
      <c r="P40" t="s">
        <v>157</v>
      </c>
    </row>
    <row r="41" spans="1:16" x14ac:dyDescent="0.25">
      <c r="A41">
        <v>1716342311</v>
      </c>
      <c r="B41">
        <v>1734624745</v>
      </c>
      <c r="C41" s="6">
        <v>6257441.9500000002</v>
      </c>
      <c r="D41">
        <f>VLOOKUP(A41,Sheet1!$N$4:$O$136,2,FALSE)</f>
        <v>369038</v>
      </c>
      <c r="E41">
        <f>VLOOKUP(B41,Sheet1!$N$4:$O$136,2,FALSE)</f>
        <v>551389</v>
      </c>
      <c r="F41" t="s">
        <v>54</v>
      </c>
      <c r="G41" t="s">
        <v>108</v>
      </c>
      <c r="I41" t="str">
        <f t="shared" si="0"/>
        <v>1716342311, 1734624745,[Per Suspense SOP]</v>
      </c>
      <c r="P41" t="s">
        <v>158</v>
      </c>
    </row>
    <row r="42" spans="1:16" x14ac:dyDescent="0.25">
      <c r="A42">
        <v>1717299750</v>
      </c>
      <c r="B42">
        <v>1734624747</v>
      </c>
      <c r="C42" s="6">
        <v>15512681.98</v>
      </c>
      <c r="D42">
        <f>VLOOKUP(A42,Sheet1!$N$4:$O$136,2,FALSE)</f>
        <v>369038</v>
      </c>
      <c r="E42">
        <f>VLOOKUP(B42,Sheet1!$N$4:$O$136,2,FALSE)</f>
        <v>551389</v>
      </c>
      <c r="F42" t="s">
        <v>55</v>
      </c>
      <c r="G42" t="s">
        <v>108</v>
      </c>
      <c r="I42" t="str">
        <f t="shared" si="0"/>
        <v>1717299750, 1734624747,[Per Suspense SOP]</v>
      </c>
      <c r="P42" t="s">
        <v>159</v>
      </c>
    </row>
    <row r="43" spans="1:16" x14ac:dyDescent="0.25">
      <c r="A43">
        <v>1718368860</v>
      </c>
      <c r="B43">
        <v>1734624749</v>
      </c>
      <c r="C43" s="6">
        <v>4131731.86</v>
      </c>
      <c r="D43">
        <f>VLOOKUP(A43,Sheet1!$N$4:$O$136,2,FALSE)</f>
        <v>369038</v>
      </c>
      <c r="E43">
        <f>VLOOKUP(B43,Sheet1!$N$4:$O$136,2,FALSE)</f>
        <v>551389</v>
      </c>
      <c r="F43" t="s">
        <v>56</v>
      </c>
      <c r="G43" t="s">
        <v>108</v>
      </c>
      <c r="I43" t="str">
        <f t="shared" si="0"/>
        <v>1718368860, 1734624749,[Per Suspense SOP]</v>
      </c>
      <c r="P43" t="s">
        <v>160</v>
      </c>
    </row>
    <row r="44" spans="1:16" x14ac:dyDescent="0.25">
      <c r="A44">
        <v>1719434901</v>
      </c>
      <c r="B44">
        <v>1734624751</v>
      </c>
      <c r="C44" s="6">
        <v>13833801.58</v>
      </c>
      <c r="D44">
        <f>VLOOKUP(A44,Sheet1!$N$4:$O$136,2,FALSE)</f>
        <v>369038</v>
      </c>
      <c r="E44">
        <f>VLOOKUP(B44,Sheet1!$N$4:$O$136,2,FALSE)</f>
        <v>551389</v>
      </c>
      <c r="F44" t="s">
        <v>57</v>
      </c>
      <c r="G44" t="s">
        <v>108</v>
      </c>
      <c r="I44" t="str">
        <f t="shared" si="0"/>
        <v>1719434901, 1734624751,[Per Suspense SOP]</v>
      </c>
      <c r="P44" t="s">
        <v>161</v>
      </c>
    </row>
    <row r="45" spans="1:16" x14ac:dyDescent="0.25">
      <c r="A45">
        <v>1721889032</v>
      </c>
      <c r="B45">
        <v>1734624753</v>
      </c>
      <c r="C45" s="6">
        <v>9450995.4600000009</v>
      </c>
      <c r="D45">
        <f>VLOOKUP(A45,Sheet1!$N$4:$O$136,2,FALSE)</f>
        <v>369038</v>
      </c>
      <c r="E45">
        <f>VLOOKUP(B45,Sheet1!$N$4:$O$136,2,FALSE)</f>
        <v>551389</v>
      </c>
      <c r="F45" t="s">
        <v>58</v>
      </c>
      <c r="G45" t="s">
        <v>108</v>
      </c>
      <c r="I45" t="str">
        <f t="shared" si="0"/>
        <v>1721889032, 1734624753,[Per Suspense SOP]</v>
      </c>
      <c r="P45" t="s">
        <v>162</v>
      </c>
    </row>
    <row r="46" spans="1:16" x14ac:dyDescent="0.25">
      <c r="A46">
        <v>1723352923</v>
      </c>
      <c r="B46">
        <v>1734624755</v>
      </c>
      <c r="C46" s="6">
        <v>9451811.0899999999</v>
      </c>
      <c r="D46">
        <f>VLOOKUP(A46,Sheet1!$N$4:$O$136,2,FALSE)</f>
        <v>369038</v>
      </c>
      <c r="E46">
        <f>VLOOKUP(B46,Sheet1!$N$4:$O$136,2,FALSE)</f>
        <v>551389</v>
      </c>
      <c r="F46" t="s">
        <v>59</v>
      </c>
      <c r="G46" t="s">
        <v>108</v>
      </c>
      <c r="I46" t="str">
        <f t="shared" si="0"/>
        <v>1723352923, 1734624755,[Per Suspense SOP]</v>
      </c>
      <c r="P46" t="s">
        <v>163</v>
      </c>
    </row>
    <row r="47" spans="1:16" x14ac:dyDescent="0.25">
      <c r="A47">
        <v>1725337486</v>
      </c>
      <c r="B47">
        <v>1734624757</v>
      </c>
      <c r="C47" s="6">
        <v>9391776.5</v>
      </c>
      <c r="D47">
        <f>VLOOKUP(A47,Sheet1!$N$4:$O$136,2,FALSE)</f>
        <v>369038</v>
      </c>
      <c r="E47">
        <f>VLOOKUP(B47,Sheet1!$N$4:$O$136,2,FALSE)</f>
        <v>551389</v>
      </c>
      <c r="F47" t="s">
        <v>60</v>
      </c>
      <c r="G47" t="s">
        <v>108</v>
      </c>
      <c r="I47" t="str">
        <f t="shared" si="0"/>
        <v>1725337486, 1734624757,[Per Suspense SOP]</v>
      </c>
      <c r="P47" t="s">
        <v>164</v>
      </c>
    </row>
    <row r="48" spans="1:16" x14ac:dyDescent="0.25">
      <c r="A48">
        <v>1734622519</v>
      </c>
      <c r="B48">
        <v>1734624709</v>
      </c>
      <c r="C48" s="6">
        <v>440000</v>
      </c>
      <c r="D48">
        <f>VLOOKUP(A48,Sheet1!$N$4:$O$136,2,FALSE)</f>
        <v>369050</v>
      </c>
      <c r="E48">
        <f>VLOOKUP(B48,Sheet1!$N$4:$O$136,2,FALSE)</f>
        <v>551400</v>
      </c>
      <c r="F48" t="s">
        <v>61</v>
      </c>
      <c r="G48" t="s">
        <v>108</v>
      </c>
      <c r="I48" t="str">
        <f t="shared" si="0"/>
        <v>1734622519, 1734624709,[Per Suspense SOP]</v>
      </c>
      <c r="P48" t="s">
        <v>165</v>
      </c>
    </row>
    <row r="49" spans="1:16" x14ac:dyDescent="0.25">
      <c r="A49" s="7">
        <v>1734622496</v>
      </c>
      <c r="B49" s="7">
        <v>1734624632</v>
      </c>
      <c r="C49" s="8">
        <v>44500000</v>
      </c>
      <c r="D49">
        <f>VLOOKUP(A49,Sheet1!$N$4:$O$136,2,FALSE)</f>
        <v>369053</v>
      </c>
      <c r="E49">
        <f>VLOOKUP(B49,Sheet1!$N$4:$O$136,2,FALSE)</f>
        <v>551375</v>
      </c>
      <c r="F49" s="7" t="s">
        <v>62</v>
      </c>
      <c r="G49" s="7" t="s">
        <v>108</v>
      </c>
      <c r="H49" s="7"/>
      <c r="I49" s="7" t="str">
        <f t="shared" si="0"/>
        <v>1734622496, 1734624632,[Per Suspense SOP]</v>
      </c>
      <c r="J49" s="7"/>
      <c r="K49" s="7"/>
      <c r="L49" s="7"/>
      <c r="M49" s="7"/>
      <c r="N49" s="7"/>
      <c r="O49" s="7"/>
      <c r="P49" s="7" t="s">
        <v>166</v>
      </c>
    </row>
    <row r="50" spans="1:16" x14ac:dyDescent="0.25">
      <c r="A50">
        <v>1734622497</v>
      </c>
      <c r="B50">
        <v>1734624636</v>
      </c>
      <c r="C50" s="6">
        <v>2000000</v>
      </c>
      <c r="D50">
        <f>VLOOKUP(A50,Sheet1!$N$4:$O$136,2,FALSE)</f>
        <v>369053</v>
      </c>
      <c r="E50">
        <f>VLOOKUP(B50,Sheet1!$N$4:$O$136,2,FALSE)</f>
        <v>551375</v>
      </c>
      <c r="F50" t="s">
        <v>63</v>
      </c>
      <c r="G50" t="s">
        <v>108</v>
      </c>
      <c r="I50" t="str">
        <f t="shared" si="0"/>
        <v>1734622497, 1734624636,[Per Suspense SOP]</v>
      </c>
      <c r="P50" t="s">
        <v>167</v>
      </c>
    </row>
    <row r="51" spans="1:16" x14ac:dyDescent="0.25">
      <c r="A51">
        <v>1734622498</v>
      </c>
      <c r="B51">
        <v>1734624639</v>
      </c>
      <c r="C51" s="6">
        <v>3700000</v>
      </c>
      <c r="D51">
        <f>VLOOKUP(A51,Sheet1!$N$4:$O$136,2,FALSE)</f>
        <v>369053</v>
      </c>
      <c r="E51">
        <f>VLOOKUP(B51,Sheet1!$N$4:$O$136,2,FALSE)</f>
        <v>551375</v>
      </c>
      <c r="F51" t="s">
        <v>64</v>
      </c>
      <c r="G51" t="s">
        <v>108</v>
      </c>
      <c r="I51" t="str">
        <f t="shared" si="0"/>
        <v>1734622498, 1734624639,[Per Suspense SOP]</v>
      </c>
      <c r="P51" t="s">
        <v>168</v>
      </c>
    </row>
    <row r="52" spans="1:16" x14ac:dyDescent="0.25">
      <c r="A52">
        <v>1734622504</v>
      </c>
      <c r="B52">
        <v>1734624710</v>
      </c>
      <c r="C52" s="6">
        <v>44055000</v>
      </c>
      <c r="D52">
        <f>VLOOKUP(A52,Sheet1!$N$4:$O$136,2,FALSE)</f>
        <v>369050</v>
      </c>
      <c r="E52">
        <f>VLOOKUP(B52,Sheet1!$N$4:$O$136,2,FALSE)</f>
        <v>551400</v>
      </c>
      <c r="F52" t="s">
        <v>65</v>
      </c>
      <c r="G52" t="s">
        <v>108</v>
      </c>
      <c r="I52" t="str">
        <f t="shared" ref="I52:I61" si="1">F52&amp;","&amp;G52</f>
        <v>1734622504, 1734624710,[Per Suspense SOP]</v>
      </c>
      <c r="P52" t="s">
        <v>169</v>
      </c>
    </row>
    <row r="53" spans="1:16" x14ac:dyDescent="0.25">
      <c r="A53">
        <v>1734622502</v>
      </c>
      <c r="B53">
        <v>1734624713</v>
      </c>
      <c r="C53" s="6">
        <v>445000</v>
      </c>
      <c r="D53">
        <f>VLOOKUP(A53,Sheet1!$N$4:$O$136,2,FALSE)</f>
        <v>369050</v>
      </c>
      <c r="E53">
        <f>VLOOKUP(B53,Sheet1!$N$4:$O$136,2,FALSE)</f>
        <v>551400</v>
      </c>
      <c r="F53" t="s">
        <v>66</v>
      </c>
      <c r="G53" t="s">
        <v>108</v>
      </c>
      <c r="I53" t="str">
        <f t="shared" si="1"/>
        <v>1734622502, 1734624713,[Per Suspense SOP]</v>
      </c>
      <c r="P53" t="s">
        <v>170</v>
      </c>
    </row>
    <row r="54" spans="1:16" x14ac:dyDescent="0.25">
      <c r="A54">
        <v>1734622515</v>
      </c>
      <c r="B54">
        <v>1734624714</v>
      </c>
      <c r="C54" s="6">
        <v>1980000</v>
      </c>
      <c r="D54">
        <f>VLOOKUP(A54,Sheet1!$N$4:$O$136,2,FALSE)</f>
        <v>369050</v>
      </c>
      <c r="E54">
        <f>VLOOKUP(B54,Sheet1!$N$4:$O$136,2,FALSE)</f>
        <v>551400</v>
      </c>
      <c r="F54" t="s">
        <v>67</v>
      </c>
      <c r="G54" t="s">
        <v>108</v>
      </c>
      <c r="I54" t="str">
        <f t="shared" si="1"/>
        <v>1734622515, 1734624714,[Per Suspense SOP]</v>
      </c>
      <c r="P54" t="s">
        <v>171</v>
      </c>
    </row>
    <row r="55" spans="1:16" x14ac:dyDescent="0.25">
      <c r="A55">
        <v>1734622508</v>
      </c>
      <c r="B55">
        <v>1734624715</v>
      </c>
      <c r="C55" s="6">
        <v>20000</v>
      </c>
      <c r="D55">
        <f>VLOOKUP(A55,Sheet1!$N$4:$O$136,2,FALSE)</f>
        <v>369050</v>
      </c>
      <c r="E55">
        <f>VLOOKUP(B55,Sheet1!$N$4:$O$136,2,FALSE)</f>
        <v>551400</v>
      </c>
      <c r="F55" t="s">
        <v>68</v>
      </c>
      <c r="G55" t="s">
        <v>108</v>
      </c>
      <c r="I55" t="str">
        <f t="shared" si="1"/>
        <v>1734622508, 1734624715,[Per Suspense SOP]</v>
      </c>
      <c r="P55" t="s">
        <v>172</v>
      </c>
    </row>
    <row r="56" spans="1:16" x14ac:dyDescent="0.25">
      <c r="A56">
        <v>1734622516</v>
      </c>
      <c r="B56">
        <v>1734624717</v>
      </c>
      <c r="C56" s="6">
        <v>3663000</v>
      </c>
      <c r="D56">
        <f>VLOOKUP(A56,Sheet1!$N$4:$O$136,2,FALSE)</f>
        <v>369050</v>
      </c>
      <c r="E56">
        <f>VLOOKUP(B56,Sheet1!$N$4:$O$136,2,FALSE)</f>
        <v>551400</v>
      </c>
      <c r="F56" t="s">
        <v>69</v>
      </c>
      <c r="G56" t="s">
        <v>108</v>
      </c>
      <c r="I56" t="str">
        <f t="shared" si="1"/>
        <v>1734622516, 1734624717,[Per Suspense SOP]</v>
      </c>
      <c r="P56" t="s">
        <v>173</v>
      </c>
    </row>
    <row r="57" spans="1:16" x14ac:dyDescent="0.25">
      <c r="A57">
        <v>1734622513</v>
      </c>
      <c r="B57">
        <v>1734624718</v>
      </c>
      <c r="C57" s="6">
        <v>37000</v>
      </c>
      <c r="D57">
        <f>VLOOKUP(A57,Sheet1!$N$4:$O$136,2,FALSE)</f>
        <v>369050</v>
      </c>
      <c r="E57">
        <f>VLOOKUP(B57,Sheet1!$N$4:$O$136,2,FALSE)</f>
        <v>551400</v>
      </c>
      <c r="F57" t="s">
        <v>70</v>
      </c>
      <c r="G57" t="s">
        <v>108</v>
      </c>
      <c r="I57" t="str">
        <f t="shared" si="1"/>
        <v>1734622513, 1734624718,[Per Suspense SOP]</v>
      </c>
      <c r="P57" t="s">
        <v>174</v>
      </c>
    </row>
    <row r="58" spans="1:16" x14ac:dyDescent="0.25">
      <c r="A58">
        <v>1709649674</v>
      </c>
      <c r="B58">
        <v>1734624678</v>
      </c>
      <c r="C58" s="6">
        <v>585496.6</v>
      </c>
      <c r="D58">
        <f>VLOOKUP(A58,Sheet1!$N$4:$O$136,2,FALSE)</f>
        <v>369041</v>
      </c>
      <c r="E58">
        <f>VLOOKUP(B58,Sheet1!$N$4:$O$136,2,FALSE)</f>
        <v>551374</v>
      </c>
      <c r="F58" t="s">
        <v>71</v>
      </c>
      <c r="G58" t="s">
        <v>108</v>
      </c>
      <c r="I58" t="str">
        <f t="shared" si="1"/>
        <v>1709649674, 1734624678,[Per Suspense SOP]</v>
      </c>
      <c r="P58" t="s">
        <v>175</v>
      </c>
    </row>
    <row r="59" spans="1:16" x14ac:dyDescent="0.25">
      <c r="A59">
        <v>1721859834</v>
      </c>
      <c r="B59">
        <v>1734624681</v>
      </c>
      <c r="C59" s="6">
        <v>585522.43000000005</v>
      </c>
      <c r="D59">
        <f>VLOOKUP(A59,Sheet1!$N$4:$O$136,2,FALSE)</f>
        <v>369041</v>
      </c>
      <c r="E59">
        <f>VLOOKUP(B59,Sheet1!$N$4:$O$136,2,FALSE)</f>
        <v>551374</v>
      </c>
      <c r="F59" t="s">
        <v>72</v>
      </c>
      <c r="G59" t="s">
        <v>108</v>
      </c>
      <c r="I59" t="str">
        <f t="shared" si="1"/>
        <v>1721859834, 1734624681,[Per Suspense SOP]</v>
      </c>
      <c r="P59" t="s">
        <v>176</v>
      </c>
    </row>
    <row r="60" spans="1:16" s="7" customFormat="1" x14ac:dyDescent="0.25">
      <c r="A60" s="7">
        <v>1725337590</v>
      </c>
      <c r="B60" s="7">
        <v>1734624667</v>
      </c>
      <c r="C60" s="8">
        <v>8333.33</v>
      </c>
      <c r="D60" s="7">
        <f>VLOOKUP(A60,Sheet1!$N$4:$O$136,2,FALSE)</f>
        <v>369052</v>
      </c>
      <c r="E60" s="7">
        <f>VLOOKUP(B60,Sheet1!$N$4:$O$136,2,FALSE)</f>
        <v>551402</v>
      </c>
      <c r="F60" s="7" t="s">
        <v>80</v>
      </c>
      <c r="G60" s="7" t="s">
        <v>108</v>
      </c>
      <c r="I60" s="7" t="str">
        <f t="shared" si="1"/>
        <v>1725337590, 1734624667,[Per Suspense SOP]</v>
      </c>
      <c r="P60" s="7" t="s">
        <v>184</v>
      </c>
    </row>
    <row r="61" spans="1:16" s="7" customFormat="1" x14ac:dyDescent="0.25">
      <c r="A61" s="7">
        <v>1725337588</v>
      </c>
      <c r="B61" s="7">
        <v>1734624654</v>
      </c>
      <c r="C61" s="8">
        <v>8333.33</v>
      </c>
      <c r="D61" s="7">
        <f>VLOOKUP(A61,Sheet1!$N$4:$O$136,2,FALSE)</f>
        <v>369052</v>
      </c>
      <c r="E61" s="7">
        <f>VLOOKUP(B61,Sheet1!$N$4:$O$136,2,FALSE)</f>
        <v>551402</v>
      </c>
      <c r="F61" s="7" t="s">
        <v>84</v>
      </c>
      <c r="G61" s="7" t="s">
        <v>108</v>
      </c>
      <c r="I61" s="7" t="str">
        <f t="shared" si="1"/>
        <v>1725337588, 1734624654,[Per Suspense SOP]</v>
      </c>
      <c r="P61" s="7" t="s">
        <v>188</v>
      </c>
    </row>
    <row r="62" spans="1:16" x14ac:dyDescent="0.25">
      <c r="A62">
        <v>1725337589</v>
      </c>
      <c r="B62">
        <v>1734624680</v>
      </c>
      <c r="C62" s="6">
        <v>9583.33</v>
      </c>
      <c r="D62">
        <f>VLOOKUP(A62,Sheet1!$N$4:$O$136,2,FALSE)</f>
        <v>369052</v>
      </c>
      <c r="E62">
        <f>VLOOKUP(B62,Sheet1!$N$4:$O$136,2,FALSE)</f>
        <v>551402</v>
      </c>
      <c r="F62" t="s">
        <v>89</v>
      </c>
      <c r="G62" t="s">
        <v>108</v>
      </c>
      <c r="I62" t="str">
        <f t="shared" ref="I62:I64" si="2">F62&amp;","&amp;G62</f>
        <v>1725337589, 1734624680,[Per Suspense SOP]</v>
      </c>
      <c r="P62" t="s">
        <v>193</v>
      </c>
    </row>
    <row r="63" spans="1:16" x14ac:dyDescent="0.25">
      <c r="A63">
        <v>1725337594</v>
      </c>
      <c r="B63">
        <v>1734624682</v>
      </c>
      <c r="C63" s="6">
        <v>10416.67</v>
      </c>
      <c r="D63">
        <f>VLOOKUP(A63,Sheet1!$N$4:$O$136,2,FALSE)</f>
        <v>369052</v>
      </c>
      <c r="E63">
        <f>VLOOKUP(B63,Sheet1!$N$4:$O$136,2,FALSE)</f>
        <v>551402</v>
      </c>
      <c r="F63" t="s">
        <v>90</v>
      </c>
      <c r="G63" t="s">
        <v>108</v>
      </c>
      <c r="I63" t="str">
        <f t="shared" si="2"/>
        <v>1725337594, 1734624682,[Per Suspense SOP]</v>
      </c>
      <c r="P63" t="s">
        <v>194</v>
      </c>
    </row>
    <row r="64" spans="1:16" x14ac:dyDescent="0.25">
      <c r="A64">
        <v>1725337591</v>
      </c>
      <c r="B64">
        <v>1734624685</v>
      </c>
      <c r="C64" s="6">
        <v>25000</v>
      </c>
      <c r="D64">
        <f>VLOOKUP(A64,Sheet1!$N$4:$O$136,2,FALSE)</f>
        <v>369052</v>
      </c>
      <c r="E64">
        <f>VLOOKUP(B64,Sheet1!$N$4:$O$136,2,FALSE)</f>
        <v>551402</v>
      </c>
      <c r="F64" t="s">
        <v>91</v>
      </c>
      <c r="G64" t="s">
        <v>108</v>
      </c>
      <c r="I64" t="str">
        <f t="shared" si="2"/>
        <v>1725337591, 1734624685,[Per Suspense SOP]</v>
      </c>
      <c r="P64" t="s">
        <v>195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6A220-6B18-4B27-9AC2-98452ED7637E}">
  <dimension ref="N10:N12"/>
  <sheetViews>
    <sheetView workbookViewId="0">
      <selection activeCell="N10" sqref="N10:N12"/>
    </sheetView>
  </sheetViews>
  <sheetFormatPr defaultRowHeight="15" x14ac:dyDescent="0.25"/>
  <cols>
    <col min="14" max="14" width="15" customWidth="1"/>
  </cols>
  <sheetData>
    <row r="10" spans="14:14" x14ac:dyDescent="0.25">
      <c r="N10">
        <v>1725337589</v>
      </c>
    </row>
    <row r="11" spans="14:14" x14ac:dyDescent="0.25">
      <c r="N11">
        <v>1725337588</v>
      </c>
    </row>
    <row r="12" spans="14:14" x14ac:dyDescent="0.25">
      <c r="N12">
        <v>1725337590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1b54463-0dc6-4729-9f0b-886b1c3961cf}" enabled="1" method="Standard" siteId="{3dd59dce-9563-4ed5-b9aa-d0320fb1b44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bulk_upload</vt:lpstr>
      <vt:lpstr>raw</vt:lpstr>
      <vt:lpstr>Sheet1</vt:lpstr>
      <vt:lpstr>Sheet2</vt:lpstr>
      <vt:lpstr>bulk_upload (2)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Matthew Ray</cp:lastModifiedBy>
  <dcterms:created xsi:type="dcterms:W3CDTF">2025-12-09T17:37:59Z</dcterms:created>
  <dcterms:modified xsi:type="dcterms:W3CDTF">2025-12-09T19:23:39Z</dcterms:modified>
</cp:coreProperties>
</file>