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GL_Entries/inputs/Mappings/"/>
    </mc:Choice>
  </mc:AlternateContent>
  <xr:revisionPtr revIDLastSave="255" documentId="8_{897F505C-C968-4279-9C81-5508E05D2B36}" xr6:coauthVersionLast="47" xr6:coauthVersionMax="47" xr10:uidLastSave="{F9A4CE0F-E615-4C28-B4A6-4AA1D83B0821}"/>
  <bookViews>
    <workbookView xWindow="1005" yWindow="6165" windowWidth="21600" windowHeight="12645" activeTab="1" xr2:uid="{B4EF2F62-3A9F-467D-A890-BA7C6F3ED471}"/>
  </bookViews>
  <sheets>
    <sheet name="main" sheetId="1" r:id="rId1"/>
    <sheet name="LCF" sheetId="2" r:id="rId2"/>
    <sheet name="LCREF" sheetId="3" r:id="rId3"/>
    <sheet name="LTRS1" sheetId="4" r:id="rId4"/>
    <sheet name="LCC" sheetId="5" r:id="rId5"/>
    <sheet name="LCFHR" sheetId="6" r:id="rId6"/>
    <sheet name="TUERI" sheetId="7" r:id="rId7"/>
    <sheet name="LC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8" l="1"/>
  <c r="F7" i="8"/>
  <c r="F6" i="8"/>
  <c r="F5" i="8"/>
  <c r="F4" i="8"/>
  <c r="F3" i="8"/>
  <c r="F2" i="8"/>
  <c r="F8" i="7"/>
  <c r="F7" i="7"/>
  <c r="F6" i="7"/>
  <c r="F5" i="7"/>
  <c r="F4" i="7"/>
  <c r="F3" i="7"/>
  <c r="F2" i="7"/>
  <c r="F8" i="6"/>
  <c r="F7" i="6"/>
  <c r="F6" i="6"/>
  <c r="F5" i="6"/>
  <c r="F4" i="6"/>
  <c r="F3" i="6"/>
  <c r="F2" i="6"/>
  <c r="F8" i="5"/>
  <c r="F7" i="5"/>
  <c r="F6" i="5"/>
  <c r="F5" i="5"/>
  <c r="F4" i="5"/>
  <c r="F3" i="5"/>
  <c r="F2" i="5"/>
  <c r="F8" i="4"/>
  <c r="F7" i="4"/>
  <c r="F6" i="4"/>
  <c r="F5" i="4"/>
  <c r="F4" i="4"/>
  <c r="F3" i="4"/>
  <c r="F2" i="4"/>
  <c r="F8" i="3"/>
  <c r="F7" i="3"/>
  <c r="F6" i="3"/>
  <c r="F5" i="3"/>
  <c r="F4" i="3"/>
  <c r="F3" i="3"/>
  <c r="F2" i="3"/>
  <c r="F8" i="2"/>
  <c r="F7" i="2"/>
  <c r="F6" i="2"/>
  <c r="F5" i="2"/>
  <c r="F4" i="2"/>
  <c r="F3" i="2"/>
  <c r="F2" i="2"/>
  <c r="F6" i="1"/>
  <c r="F7" i="1"/>
  <c r="F8" i="1"/>
  <c r="F4" i="1"/>
  <c r="F5" i="1"/>
  <c r="F3" i="1"/>
  <c r="F2" i="1"/>
</calcChain>
</file>

<file path=xl/sharedStrings.xml><?xml version="1.0" encoding="utf-8"?>
<sst xmlns="http://schemas.openxmlformats.org/spreadsheetml/2006/main" count="464" uniqueCount="101">
  <si>
    <t>Short Description</t>
  </si>
  <si>
    <t>GL String</t>
  </si>
  <si>
    <t>Company Code</t>
  </si>
  <si>
    <t>Gl Code</t>
  </si>
  <si>
    <t>Product</t>
  </si>
  <si>
    <t>Portfolio</t>
  </si>
  <si>
    <t>LCFHR</t>
  </si>
  <si>
    <t>FN10</t>
  </si>
  <si>
    <t>Account ID</t>
  </si>
  <si>
    <t>Revolver Quarterly Fee</t>
  </si>
  <si>
    <t>Revolver Quarterly Facility Fee</t>
  </si>
  <si>
    <t>Manual Payment - Director Fees</t>
  </si>
  <si>
    <t>LCC</t>
  </si>
  <si>
    <t>LADDER TO REMOVE</t>
  </si>
  <si>
    <t>Partnership Distribution</t>
  </si>
  <si>
    <t>0000</t>
  </si>
  <si>
    <t>000</t>
  </si>
  <si>
    <t>Overnight interest sweep PNC LCFHR account. No entry required</t>
  </si>
  <si>
    <t>SWEEP</t>
  </si>
  <si>
    <t>Dividend Payment</t>
  </si>
  <si>
    <t>LCREP</t>
  </si>
  <si>
    <t>Payroll Transfer</t>
  </si>
  <si>
    <t>LCF</t>
  </si>
  <si>
    <t>LCREF</t>
  </si>
  <si>
    <t>LTRS1</t>
  </si>
  <si>
    <t>TUERI</t>
  </si>
  <si>
    <t>Entities</t>
  </si>
  <si>
    <t>Account Name</t>
  </si>
  <si>
    <t>LCF-LADDER TO REMOVE - SUSP</t>
  </si>
  <si>
    <t>LCF-4253-SUSP</t>
  </si>
  <si>
    <t>LCF-2611-SUSP</t>
  </si>
  <si>
    <t>LCF-1960-SUSP</t>
  </si>
  <si>
    <t>LCF-SWEEP-SUSP</t>
  </si>
  <si>
    <t>LCREF-4253-SUSP</t>
  </si>
  <si>
    <t>LCREF-2611-SUSP</t>
  </si>
  <si>
    <t>LCREF-LADDER TO REMOVE-SUSP</t>
  </si>
  <si>
    <t>LCREF-1960-SUSP</t>
  </si>
  <si>
    <t>LCREF-SWEEP-SUSP</t>
  </si>
  <si>
    <t>LTRS1-4253-SUSP</t>
  </si>
  <si>
    <t>LTRS1-2611-SUSP</t>
  </si>
  <si>
    <t>LTRS1-LADDER TO REMOVE-SUSP</t>
  </si>
  <si>
    <t>LTRS1-1960-SUSP</t>
  </si>
  <si>
    <t>LTRS1-SWEEP-SUSP</t>
  </si>
  <si>
    <t>LCC-4253-SUSP</t>
  </si>
  <si>
    <t>LCC-2611-SUSP</t>
  </si>
  <si>
    <t>LCC-LADDER TO REMOVE-SUSP</t>
  </si>
  <si>
    <t>LCC-1960-SUSP</t>
  </si>
  <si>
    <t>LCC-SWEEP-SUSP</t>
  </si>
  <si>
    <t>LCFHR-4253-SUSP</t>
  </si>
  <si>
    <t>LCFHR-2611-SUSP</t>
  </si>
  <si>
    <t>LCFHR-LADDER TO REMOVE-SUSP</t>
  </si>
  <si>
    <t>LCFHR-1960-SUSP</t>
  </si>
  <si>
    <t>LCFHR-SWEEP-SUSP</t>
  </si>
  <si>
    <t>TUERI-4253-SUSP</t>
  </si>
  <si>
    <t>TUERI-2611-SUSP</t>
  </si>
  <si>
    <t>TUERI-LADDER TO REMOVE-SUSP</t>
  </si>
  <si>
    <t>TUERI-1960-SUSP</t>
  </si>
  <si>
    <t>TUERI-SWEEP-SUSP</t>
  </si>
  <si>
    <t>LCREP-4253-SUSP</t>
  </si>
  <si>
    <t>LCREP-2611-SUSP</t>
  </si>
  <si>
    <t>LCREP-LADDER TO REMOVE-SUSP</t>
  </si>
  <si>
    <t>LCREP-1960-SUSP</t>
  </si>
  <si>
    <t>LCREP-SWEEP-SUSP</t>
  </si>
  <si>
    <t>551373</t>
  </si>
  <si>
    <t>551370</t>
  </si>
  <si>
    <t>551380</t>
  </si>
  <si>
    <t>551372</t>
  </si>
  <si>
    <t>551377</t>
  </si>
  <si>
    <t>551379</t>
  </si>
  <si>
    <t>551375</t>
  </si>
  <si>
    <t>551378</t>
  </si>
  <si>
    <t>551371</t>
  </si>
  <si>
    <t>551388</t>
  </si>
  <si>
    <t>551376</t>
  </si>
  <si>
    <t>551384</t>
  </si>
  <si>
    <t>551385</t>
  </si>
  <si>
    <t>551392</t>
  </si>
  <si>
    <t>551390</t>
  </si>
  <si>
    <t>551374</t>
  </si>
  <si>
    <t>551383</t>
  </si>
  <si>
    <t>551387</t>
  </si>
  <si>
    <t>551393</t>
  </si>
  <si>
    <t>551386</t>
  </si>
  <si>
    <t>551398</t>
  </si>
  <si>
    <t>551381</t>
  </si>
  <si>
    <t>551397</t>
  </si>
  <si>
    <t>551382</t>
  </si>
  <si>
    <t>551389</t>
  </si>
  <si>
    <t>551391</t>
  </si>
  <si>
    <t>551395</t>
  </si>
  <si>
    <t>551400</t>
  </si>
  <si>
    <t>551403</t>
  </si>
  <si>
    <t>551402</t>
  </si>
  <si>
    <t>551401</t>
  </si>
  <si>
    <t>551399</t>
  </si>
  <si>
    <t>551396</t>
  </si>
  <si>
    <t>551394</t>
  </si>
  <si>
    <t>551404</t>
  </si>
  <si>
    <t>Transaction_Type</t>
  </si>
  <si>
    <t>CCW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</si>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</sst>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19AF-9252-4DBA-A66A-6EC4AD8F2872}">
  <dimension ref="A1:J51"/>
  <sheetViews>
    <sheetView workbookViewId="0">
      <selection activeCell="C16" sqref="C16"/>
    </sheetView>
  </sheetViews>
  <sheetFormatPr defaultRowHeight="15" x14ac:dyDescent="0.25"/>
  <cols>
    <col min="1" max="1" width="30.140625" customWidth="1"/>
    <col min="2" max="5" width="27.42578125" customWidth="1"/>
    <col min="6" max="6" width="26" customWidth="1"/>
    <col min="7" max="7" width="13.5703125" customWidth="1"/>
  </cols>
  <sheetData>
    <row r="1" spans="1:10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J1" t="s">
        <v>26</v>
      </c>
    </row>
    <row r="2" spans="1:10" x14ac:dyDescent="0.25">
      <c r="A2" t="s">
        <v>9</v>
      </c>
      <c r="B2" t="s">
        <v>6</v>
      </c>
      <c r="C2">
        <v>4253</v>
      </c>
      <c r="D2" t="s">
        <v>7</v>
      </c>
      <c r="E2">
        <v>800</v>
      </c>
      <c r="F2" t="str">
        <f>B2&amp;"-"&amp;C2&amp;"-"&amp;D2&amp;"-"&amp;E2</f>
        <v>LCFHR-4253-FN10-800</v>
      </c>
      <c r="G2">
        <v>12345</v>
      </c>
      <c r="J2" t="s">
        <v>22</v>
      </c>
    </row>
    <row r="3" spans="1:10" x14ac:dyDescent="0.25">
      <c r="A3" t="s">
        <v>10</v>
      </c>
      <c r="B3" t="s">
        <v>6</v>
      </c>
      <c r="C3">
        <v>2611</v>
      </c>
      <c r="D3" t="s">
        <v>7</v>
      </c>
      <c r="E3">
        <v>800</v>
      </c>
      <c r="F3" t="str">
        <f>B3&amp;"-"&amp;C3&amp;"-"&amp;D3&amp;"-"&amp;E3</f>
        <v>LCFHR-2611-FN10-800</v>
      </c>
      <c r="G3">
        <v>678910</v>
      </c>
      <c r="J3" t="s">
        <v>23</v>
      </c>
    </row>
    <row r="4" spans="1:10" x14ac:dyDescent="0.25">
      <c r="A4" t="s">
        <v>11</v>
      </c>
      <c r="B4" t="s">
        <v>12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LCC-LADDER TO REMOVE-0000-000</v>
      </c>
      <c r="G4">
        <v>10111213</v>
      </c>
      <c r="J4" t="s">
        <v>24</v>
      </c>
    </row>
    <row r="5" spans="1:10" x14ac:dyDescent="0.25">
      <c r="A5" t="s">
        <v>14</v>
      </c>
      <c r="B5" t="s">
        <v>12</v>
      </c>
      <c r="C5">
        <v>1960</v>
      </c>
      <c r="D5" s="2" t="s">
        <v>15</v>
      </c>
      <c r="E5" s="2" t="s">
        <v>16</v>
      </c>
      <c r="F5" t="str">
        <f>B5&amp;"-"&amp;C5&amp;"-"&amp;D5&amp;"-"&amp;E5</f>
        <v>LCC-1960-0000-000</v>
      </c>
      <c r="G5">
        <v>141516</v>
      </c>
      <c r="J5" t="s">
        <v>12</v>
      </c>
    </row>
    <row r="6" spans="1:10" x14ac:dyDescent="0.25">
      <c r="A6" t="s">
        <v>17</v>
      </c>
      <c r="B6" t="s">
        <v>6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LCFHR-SWEEP-0000-000</v>
      </c>
      <c r="G6">
        <v>17181920</v>
      </c>
      <c r="J6" t="s">
        <v>6</v>
      </c>
    </row>
    <row r="7" spans="1:10" x14ac:dyDescent="0.25">
      <c r="A7" t="s">
        <v>19</v>
      </c>
      <c r="B7" t="s">
        <v>20</v>
      </c>
      <c r="C7">
        <v>1960</v>
      </c>
      <c r="D7" s="2" t="s">
        <v>15</v>
      </c>
      <c r="E7" s="2" t="s">
        <v>16</v>
      </c>
      <c r="F7" t="str">
        <f t="shared" si="0"/>
        <v>LCREP-1960-0000-000</v>
      </c>
      <c r="G7">
        <v>21222324</v>
      </c>
      <c r="J7" t="s">
        <v>25</v>
      </c>
    </row>
    <row r="8" spans="1:10" x14ac:dyDescent="0.25">
      <c r="A8" t="s">
        <v>21</v>
      </c>
      <c r="B8" t="s">
        <v>22</v>
      </c>
      <c r="C8">
        <v>1960</v>
      </c>
      <c r="D8" s="2" t="s">
        <v>15</v>
      </c>
      <c r="E8" s="2" t="s">
        <v>16</v>
      </c>
      <c r="F8" t="str">
        <f t="shared" si="0"/>
        <v>LCF-1960-0000-000</v>
      </c>
      <c r="G8">
        <v>25262734</v>
      </c>
      <c r="J8" t="s">
        <v>20</v>
      </c>
    </row>
    <row r="16" spans="1:10" x14ac:dyDescent="0.25">
      <c r="F16" t="s">
        <v>27</v>
      </c>
      <c r="G16" t="s">
        <v>8</v>
      </c>
    </row>
    <row r="17" spans="6:7" x14ac:dyDescent="0.25">
      <c r="F17" t="s">
        <v>41</v>
      </c>
      <c r="G17" t="s">
        <v>63</v>
      </c>
    </row>
    <row r="18" spans="6:7" x14ac:dyDescent="0.25">
      <c r="F18" t="s">
        <v>37</v>
      </c>
      <c r="G18" t="s">
        <v>64</v>
      </c>
    </row>
    <row r="19" spans="6:7" x14ac:dyDescent="0.25">
      <c r="F19" t="s">
        <v>33</v>
      </c>
      <c r="G19" t="s">
        <v>65</v>
      </c>
    </row>
    <row r="20" spans="6:7" x14ac:dyDescent="0.25">
      <c r="F20" t="s">
        <v>34</v>
      </c>
      <c r="G20" t="s">
        <v>66</v>
      </c>
    </row>
    <row r="21" spans="6:7" x14ac:dyDescent="0.25">
      <c r="F21" t="s">
        <v>29</v>
      </c>
      <c r="G21" t="s">
        <v>67</v>
      </c>
    </row>
    <row r="22" spans="6:7" x14ac:dyDescent="0.25">
      <c r="F22" t="s">
        <v>35</v>
      </c>
      <c r="G22" t="s">
        <v>68</v>
      </c>
    </row>
    <row r="23" spans="6:7" x14ac:dyDescent="0.25">
      <c r="F23" t="s">
        <v>36</v>
      </c>
      <c r="G23" t="s">
        <v>69</v>
      </c>
    </row>
    <row r="24" spans="6:7" x14ac:dyDescent="0.25">
      <c r="F24" t="s">
        <v>32</v>
      </c>
      <c r="G24" t="s">
        <v>70</v>
      </c>
    </row>
    <row r="25" spans="6:7" x14ac:dyDescent="0.25">
      <c r="F25" t="s">
        <v>42</v>
      </c>
      <c r="G25" t="s">
        <v>71</v>
      </c>
    </row>
    <row r="26" spans="6:7" x14ac:dyDescent="0.25">
      <c r="F26" t="s">
        <v>49</v>
      </c>
      <c r="G26" t="s">
        <v>72</v>
      </c>
    </row>
    <row r="27" spans="6:7" x14ac:dyDescent="0.25">
      <c r="F27" t="s">
        <v>54</v>
      </c>
      <c r="G27" t="s">
        <v>73</v>
      </c>
    </row>
    <row r="28" spans="6:7" x14ac:dyDescent="0.25">
      <c r="F28" t="s">
        <v>50</v>
      </c>
      <c r="G28" t="s">
        <v>74</v>
      </c>
    </row>
    <row r="29" spans="6:7" x14ac:dyDescent="0.25">
      <c r="F29" t="s">
        <v>38</v>
      </c>
      <c r="G29" t="s">
        <v>75</v>
      </c>
    </row>
    <row r="30" spans="6:7" x14ac:dyDescent="0.25">
      <c r="F30" t="s">
        <v>62</v>
      </c>
      <c r="G30" t="s">
        <v>76</v>
      </c>
    </row>
    <row r="31" spans="6:7" x14ac:dyDescent="0.25">
      <c r="F31" t="s">
        <v>40</v>
      </c>
      <c r="G31" t="s">
        <v>77</v>
      </c>
    </row>
    <row r="32" spans="6:7" x14ac:dyDescent="0.25">
      <c r="F32" t="s">
        <v>31</v>
      </c>
      <c r="G32" t="s">
        <v>78</v>
      </c>
    </row>
    <row r="33" spans="6:7" x14ac:dyDescent="0.25">
      <c r="F33" t="s">
        <v>47</v>
      </c>
      <c r="G33" t="s">
        <v>79</v>
      </c>
    </row>
    <row r="34" spans="6:7" x14ac:dyDescent="0.25">
      <c r="F34" t="s">
        <v>43</v>
      </c>
      <c r="G34" t="s">
        <v>80</v>
      </c>
    </row>
    <row r="35" spans="6:7" x14ac:dyDescent="0.25">
      <c r="F35" t="s">
        <v>53</v>
      </c>
      <c r="G35" t="s">
        <v>81</v>
      </c>
    </row>
    <row r="36" spans="6:7" x14ac:dyDescent="0.25">
      <c r="F36" t="s">
        <v>59</v>
      </c>
      <c r="G36" t="s">
        <v>82</v>
      </c>
    </row>
    <row r="37" spans="6:7" x14ac:dyDescent="0.25">
      <c r="F37" t="s">
        <v>58</v>
      </c>
      <c r="G37" t="s">
        <v>83</v>
      </c>
    </row>
    <row r="38" spans="6:7" x14ac:dyDescent="0.25">
      <c r="F38" t="s">
        <v>30</v>
      </c>
      <c r="G38" t="s">
        <v>84</v>
      </c>
    </row>
    <row r="39" spans="6:7" x14ac:dyDescent="0.25">
      <c r="F39" t="s">
        <v>28</v>
      </c>
      <c r="G39" t="s">
        <v>85</v>
      </c>
    </row>
    <row r="40" spans="6:7" x14ac:dyDescent="0.25">
      <c r="F40" t="s">
        <v>44</v>
      </c>
      <c r="G40" t="s">
        <v>86</v>
      </c>
    </row>
    <row r="41" spans="6:7" x14ac:dyDescent="0.25">
      <c r="F41" t="s">
        <v>52</v>
      </c>
      <c r="G41" t="s">
        <v>87</v>
      </c>
    </row>
    <row r="42" spans="6:7" x14ac:dyDescent="0.25">
      <c r="F42" t="s">
        <v>56</v>
      </c>
      <c r="G42" t="s">
        <v>88</v>
      </c>
    </row>
    <row r="43" spans="6:7" x14ac:dyDescent="0.25">
      <c r="F43" t="s">
        <v>39</v>
      </c>
      <c r="G43" t="s">
        <v>89</v>
      </c>
    </row>
    <row r="44" spans="6:7" x14ac:dyDescent="0.25">
      <c r="F44" t="s">
        <v>61</v>
      </c>
      <c r="G44" t="s">
        <v>90</v>
      </c>
    </row>
    <row r="45" spans="6:7" x14ac:dyDescent="0.25">
      <c r="F45" t="s">
        <v>48</v>
      </c>
      <c r="G45" t="s">
        <v>91</v>
      </c>
    </row>
    <row r="46" spans="6:7" x14ac:dyDescent="0.25">
      <c r="F46" t="s">
        <v>45</v>
      </c>
      <c r="G46" t="s">
        <v>92</v>
      </c>
    </row>
    <row r="47" spans="6:7" x14ac:dyDescent="0.25">
      <c r="F47" t="s">
        <v>60</v>
      </c>
      <c r="G47" t="s">
        <v>93</v>
      </c>
    </row>
    <row r="48" spans="6:7" x14ac:dyDescent="0.25">
      <c r="F48" t="s">
        <v>55</v>
      </c>
      <c r="G48" t="s">
        <v>94</v>
      </c>
    </row>
    <row r="49" spans="6:7" x14ac:dyDescent="0.25">
      <c r="F49" t="s">
        <v>57</v>
      </c>
      <c r="G49" t="s">
        <v>95</v>
      </c>
    </row>
    <row r="50" spans="6:7" x14ac:dyDescent="0.25">
      <c r="F50" t="s">
        <v>46</v>
      </c>
      <c r="G50" t="s">
        <v>96</v>
      </c>
    </row>
    <row r="51" spans="6:7" x14ac:dyDescent="0.25">
      <c r="F51" t="s">
        <v>51</v>
      </c>
      <c r="G5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8A42E-57F6-4E95-95F1-B2513DBDEB59}">
  <dimension ref="A1:H8"/>
  <sheetViews>
    <sheetView tabSelected="1" workbookViewId="0">
      <selection activeCell="D9" sqref="D9"/>
    </sheetView>
  </sheetViews>
  <sheetFormatPr defaultRowHeight="15" x14ac:dyDescent="0.25"/>
  <cols>
    <col min="1" max="1" width="30.140625" customWidth="1"/>
    <col min="2" max="5" width="27.42578125" customWidth="1"/>
    <col min="6" max="6" width="34.85546875" customWidth="1"/>
    <col min="7" max="7" width="13.5703125" customWidth="1"/>
    <col min="9" max="9" width="34.7109375" customWidth="1"/>
  </cols>
  <sheetData>
    <row r="1" spans="1:8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H1" s="1" t="s">
        <v>98</v>
      </c>
    </row>
    <row r="2" spans="1:8" x14ac:dyDescent="0.25">
      <c r="A2" t="s">
        <v>9</v>
      </c>
      <c r="B2" t="s">
        <v>22</v>
      </c>
      <c r="C2">
        <v>4253</v>
      </c>
      <c r="D2" t="s">
        <v>7</v>
      </c>
      <c r="E2">
        <v>800</v>
      </c>
      <c r="F2" t="str">
        <f>B2&amp;"-"&amp;C2&amp;"-"&amp;D2&amp;"-"&amp;E2</f>
        <v>LCF-4253-FN10-800</v>
      </c>
      <c r="G2" t="s">
        <v>67</v>
      </c>
      <c r="H2" t="s">
        <v>100</v>
      </c>
    </row>
    <row r="3" spans="1:8" x14ac:dyDescent="0.25">
      <c r="A3" t="s">
        <v>10</v>
      </c>
      <c r="B3" t="s">
        <v>22</v>
      </c>
      <c r="C3">
        <v>2611</v>
      </c>
      <c r="D3" t="s">
        <v>7</v>
      </c>
      <c r="E3">
        <v>800</v>
      </c>
      <c r="F3" t="str">
        <f>B3&amp;"-"&amp;C3&amp;"-"&amp;D3&amp;"-"&amp;E3</f>
        <v>LCF-2611-FN10-800</v>
      </c>
      <c r="G3" t="s">
        <v>84</v>
      </c>
      <c r="H3" t="s">
        <v>100</v>
      </c>
    </row>
    <row r="4" spans="1:8" x14ac:dyDescent="0.25">
      <c r="A4" t="s">
        <v>11</v>
      </c>
      <c r="B4" t="s">
        <v>22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LCF-LADDER TO REMOVE-0000-000</v>
      </c>
      <c r="G4" t="s">
        <v>85</v>
      </c>
      <c r="H4" t="s">
        <v>99</v>
      </c>
    </row>
    <row r="5" spans="1:8" x14ac:dyDescent="0.25">
      <c r="A5" t="s">
        <v>14</v>
      </c>
      <c r="B5" t="s">
        <v>22</v>
      </c>
      <c r="C5">
        <v>1960</v>
      </c>
      <c r="D5" s="2" t="s">
        <v>15</v>
      </c>
      <c r="E5" s="2" t="s">
        <v>16</v>
      </c>
      <c r="F5" t="str">
        <f>B5&amp;"-"&amp;C5&amp;"-"&amp;D5&amp;"-"&amp;E5</f>
        <v>LCF-1960-0000-000</v>
      </c>
      <c r="G5" t="s">
        <v>78</v>
      </c>
      <c r="H5" t="s">
        <v>99</v>
      </c>
    </row>
    <row r="6" spans="1:8" x14ac:dyDescent="0.25">
      <c r="A6" t="s">
        <v>17</v>
      </c>
      <c r="B6" t="s">
        <v>22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LCF-SWEEP-0000-000</v>
      </c>
      <c r="G6" t="s">
        <v>70</v>
      </c>
      <c r="H6" t="s">
        <v>99</v>
      </c>
    </row>
    <row r="7" spans="1:8" x14ac:dyDescent="0.25">
      <c r="A7" t="s">
        <v>19</v>
      </c>
      <c r="B7" t="s">
        <v>22</v>
      </c>
      <c r="C7">
        <v>1960</v>
      </c>
      <c r="D7" s="2" t="s">
        <v>15</v>
      </c>
      <c r="E7" s="2" t="s">
        <v>16</v>
      </c>
      <c r="F7" t="str">
        <f t="shared" si="0"/>
        <v>LCF-1960-0000-000</v>
      </c>
      <c r="G7" t="s">
        <v>78</v>
      </c>
      <c r="H7" t="s">
        <v>99</v>
      </c>
    </row>
    <row r="8" spans="1:8" x14ac:dyDescent="0.25">
      <c r="A8" t="s">
        <v>21</v>
      </c>
      <c r="B8" t="s">
        <v>22</v>
      </c>
      <c r="C8">
        <v>1960</v>
      </c>
      <c r="D8" s="2" t="s">
        <v>15</v>
      </c>
      <c r="E8" s="2" t="s">
        <v>16</v>
      </c>
      <c r="F8" t="str">
        <f t="shared" si="0"/>
        <v>LCF-1960-0000-000</v>
      </c>
      <c r="G8" t="s">
        <v>78</v>
      </c>
      <c r="H8" t="s">
        <v>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FAA2-55D3-486C-89B6-5BCE1B7BB26F}">
  <dimension ref="A1:H8"/>
  <sheetViews>
    <sheetView workbookViewId="0">
      <selection activeCell="F14" sqref="F14"/>
    </sheetView>
  </sheetViews>
  <sheetFormatPr defaultRowHeight="15" x14ac:dyDescent="0.25"/>
  <cols>
    <col min="1" max="1" width="30.140625" customWidth="1"/>
    <col min="2" max="5" width="27.42578125" customWidth="1"/>
    <col min="6" max="6" width="26" customWidth="1"/>
    <col min="7" max="7" width="13.5703125" customWidth="1"/>
    <col min="9" max="9" width="28" customWidth="1"/>
  </cols>
  <sheetData>
    <row r="1" spans="1:8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H1" s="1" t="s">
        <v>98</v>
      </c>
    </row>
    <row r="2" spans="1:8" x14ac:dyDescent="0.25">
      <c r="A2" t="s">
        <v>9</v>
      </c>
      <c r="B2" t="s">
        <v>23</v>
      </c>
      <c r="C2">
        <v>4253</v>
      </c>
      <c r="D2" t="s">
        <v>7</v>
      </c>
      <c r="E2">
        <v>800</v>
      </c>
      <c r="F2" t="str">
        <f>B2&amp;"-"&amp;C2&amp;"-"&amp;D2&amp;"-"&amp;E2</f>
        <v>LCREF-4253-FN10-800</v>
      </c>
      <c r="G2">
        <v>551380</v>
      </c>
      <c r="H2" t="s">
        <v>100</v>
      </c>
    </row>
    <row r="3" spans="1:8" x14ac:dyDescent="0.25">
      <c r="A3" t="s">
        <v>10</v>
      </c>
      <c r="B3" t="s">
        <v>23</v>
      </c>
      <c r="C3">
        <v>2611</v>
      </c>
      <c r="D3" t="s">
        <v>7</v>
      </c>
      <c r="E3">
        <v>800</v>
      </c>
      <c r="F3" t="str">
        <f>B3&amp;"-"&amp;C3&amp;"-"&amp;D3&amp;"-"&amp;E3</f>
        <v>LCREF-2611-FN10-800</v>
      </c>
      <c r="G3" t="s">
        <v>66</v>
      </c>
      <c r="H3" t="s">
        <v>100</v>
      </c>
    </row>
    <row r="4" spans="1:8" x14ac:dyDescent="0.25">
      <c r="A4" t="s">
        <v>11</v>
      </c>
      <c r="B4" t="s">
        <v>23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LCREF-LADDER TO REMOVE-0000-000</v>
      </c>
      <c r="G4" t="s">
        <v>68</v>
      </c>
      <c r="H4" t="s">
        <v>99</v>
      </c>
    </row>
    <row r="5" spans="1:8" x14ac:dyDescent="0.25">
      <c r="A5" t="s">
        <v>14</v>
      </c>
      <c r="B5" t="s">
        <v>23</v>
      </c>
      <c r="C5">
        <v>1960</v>
      </c>
      <c r="D5" s="2" t="s">
        <v>15</v>
      </c>
      <c r="E5" s="2" t="s">
        <v>16</v>
      </c>
      <c r="F5" t="str">
        <f>B5&amp;"-"&amp;C5&amp;"-"&amp;D5&amp;"-"&amp;E5</f>
        <v>LCREF-1960-0000-000</v>
      </c>
      <c r="G5" t="s">
        <v>69</v>
      </c>
      <c r="H5" t="s">
        <v>99</v>
      </c>
    </row>
    <row r="6" spans="1:8" x14ac:dyDescent="0.25">
      <c r="A6" t="s">
        <v>17</v>
      </c>
      <c r="B6" t="s">
        <v>23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LCREF-SWEEP-0000-000</v>
      </c>
      <c r="G6" t="s">
        <v>64</v>
      </c>
      <c r="H6" t="s">
        <v>99</v>
      </c>
    </row>
    <row r="7" spans="1:8" x14ac:dyDescent="0.25">
      <c r="A7" t="s">
        <v>19</v>
      </c>
      <c r="B7" t="s">
        <v>23</v>
      </c>
      <c r="C7">
        <v>1960</v>
      </c>
      <c r="D7" s="2" t="s">
        <v>15</v>
      </c>
      <c r="E7" s="2" t="s">
        <v>16</v>
      </c>
      <c r="F7" t="str">
        <f t="shared" si="0"/>
        <v>LCREF-1960-0000-000</v>
      </c>
      <c r="G7" t="s">
        <v>69</v>
      </c>
      <c r="H7" t="s">
        <v>99</v>
      </c>
    </row>
    <row r="8" spans="1:8" x14ac:dyDescent="0.25">
      <c r="A8" t="s">
        <v>21</v>
      </c>
      <c r="B8" t="s">
        <v>23</v>
      </c>
      <c r="C8">
        <v>1960</v>
      </c>
      <c r="D8" s="2" t="s">
        <v>15</v>
      </c>
      <c r="E8" s="2" t="s">
        <v>16</v>
      </c>
      <c r="F8" t="str">
        <f t="shared" si="0"/>
        <v>LCREF-1960-0000-000</v>
      </c>
      <c r="G8" t="s">
        <v>69</v>
      </c>
      <c r="H8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BDAE0-0C7A-4C3D-86DB-1953DA6894AD}">
  <dimension ref="A1:H8"/>
  <sheetViews>
    <sheetView workbookViewId="0">
      <selection activeCell="D22" sqref="D22"/>
    </sheetView>
  </sheetViews>
  <sheetFormatPr defaultRowHeight="15" x14ac:dyDescent="0.25"/>
  <cols>
    <col min="1" max="1" width="30.140625" customWidth="1"/>
    <col min="2" max="5" width="27.42578125" customWidth="1"/>
    <col min="6" max="6" width="26" customWidth="1"/>
    <col min="7" max="7" width="13.5703125" customWidth="1"/>
    <col min="9" max="9" width="32" customWidth="1"/>
  </cols>
  <sheetData>
    <row r="1" spans="1:8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H1" s="1" t="s">
        <v>98</v>
      </c>
    </row>
    <row r="2" spans="1:8" x14ac:dyDescent="0.25">
      <c r="A2" t="s">
        <v>9</v>
      </c>
      <c r="B2" t="s">
        <v>24</v>
      </c>
      <c r="C2">
        <v>4253</v>
      </c>
      <c r="D2" t="s">
        <v>7</v>
      </c>
      <c r="E2">
        <v>800</v>
      </c>
      <c r="F2" t="str">
        <f>B2&amp;"-"&amp;C2&amp;"-"&amp;D2&amp;"-"&amp;E2</f>
        <v>LTRS1-4253-FN10-800</v>
      </c>
      <c r="G2" t="s">
        <v>75</v>
      </c>
      <c r="H2" t="s">
        <v>100</v>
      </c>
    </row>
    <row r="3" spans="1:8" x14ac:dyDescent="0.25">
      <c r="A3" t="s">
        <v>10</v>
      </c>
      <c r="B3" t="s">
        <v>24</v>
      </c>
      <c r="C3">
        <v>2611</v>
      </c>
      <c r="D3" t="s">
        <v>7</v>
      </c>
      <c r="E3">
        <v>800</v>
      </c>
      <c r="F3" t="str">
        <f>B3&amp;"-"&amp;C3&amp;"-"&amp;D3&amp;"-"&amp;E3</f>
        <v>LTRS1-2611-FN10-800</v>
      </c>
      <c r="G3" t="s">
        <v>89</v>
      </c>
      <c r="H3" t="s">
        <v>100</v>
      </c>
    </row>
    <row r="4" spans="1:8" x14ac:dyDescent="0.25">
      <c r="A4" t="s">
        <v>11</v>
      </c>
      <c r="B4" t="s">
        <v>24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LTRS1-LADDER TO REMOVE-0000-000</v>
      </c>
      <c r="G4" t="s">
        <v>77</v>
      </c>
      <c r="H4" t="s">
        <v>99</v>
      </c>
    </row>
    <row r="5" spans="1:8" x14ac:dyDescent="0.25">
      <c r="A5" t="s">
        <v>14</v>
      </c>
      <c r="B5" t="s">
        <v>24</v>
      </c>
      <c r="C5">
        <v>1960</v>
      </c>
      <c r="D5" s="2" t="s">
        <v>15</v>
      </c>
      <c r="E5" s="2" t="s">
        <v>16</v>
      </c>
      <c r="F5" t="str">
        <f>B5&amp;"-"&amp;C5&amp;"-"&amp;D5&amp;"-"&amp;E5</f>
        <v>LTRS1-1960-0000-000</v>
      </c>
      <c r="G5" t="s">
        <v>63</v>
      </c>
      <c r="H5" t="s">
        <v>99</v>
      </c>
    </row>
    <row r="6" spans="1:8" x14ac:dyDescent="0.25">
      <c r="A6" t="s">
        <v>17</v>
      </c>
      <c r="B6" t="s">
        <v>24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LTRS1-SWEEP-0000-000</v>
      </c>
      <c r="G6" t="s">
        <v>71</v>
      </c>
      <c r="H6" t="s">
        <v>99</v>
      </c>
    </row>
    <row r="7" spans="1:8" x14ac:dyDescent="0.25">
      <c r="A7" t="s">
        <v>19</v>
      </c>
      <c r="B7" t="s">
        <v>24</v>
      </c>
      <c r="C7">
        <v>1960</v>
      </c>
      <c r="D7" s="2" t="s">
        <v>15</v>
      </c>
      <c r="E7" s="2" t="s">
        <v>16</v>
      </c>
      <c r="F7" t="str">
        <f t="shared" si="0"/>
        <v>LTRS1-1960-0000-000</v>
      </c>
      <c r="G7" t="s">
        <v>63</v>
      </c>
      <c r="H7" t="s">
        <v>99</v>
      </c>
    </row>
    <row r="8" spans="1:8" x14ac:dyDescent="0.25">
      <c r="A8" t="s">
        <v>21</v>
      </c>
      <c r="B8" t="s">
        <v>24</v>
      </c>
      <c r="C8">
        <v>1960</v>
      </c>
      <c r="D8" s="2" t="s">
        <v>15</v>
      </c>
      <c r="E8" s="2" t="s">
        <v>16</v>
      </c>
      <c r="F8" t="str">
        <f t="shared" si="0"/>
        <v>LTRS1-1960-0000-000</v>
      </c>
      <c r="G8" t="s">
        <v>63</v>
      </c>
      <c r="H8" t="s">
        <v>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008DF-76E6-4DF7-A1D1-216C452C5379}">
  <dimension ref="A1:H8"/>
  <sheetViews>
    <sheetView workbookViewId="0">
      <selection activeCell="E13" sqref="E13"/>
    </sheetView>
  </sheetViews>
  <sheetFormatPr defaultRowHeight="15" x14ac:dyDescent="0.25"/>
  <cols>
    <col min="1" max="1" width="30.140625" customWidth="1"/>
    <col min="2" max="5" width="27.42578125" customWidth="1"/>
    <col min="6" max="6" width="26" customWidth="1"/>
    <col min="7" max="7" width="13.5703125" customWidth="1"/>
    <col min="9" max="9" width="31.7109375" customWidth="1"/>
  </cols>
  <sheetData>
    <row r="1" spans="1:8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H1" s="1" t="s">
        <v>98</v>
      </c>
    </row>
    <row r="2" spans="1:8" x14ac:dyDescent="0.25">
      <c r="A2" t="s">
        <v>9</v>
      </c>
      <c r="B2" t="s">
        <v>12</v>
      </c>
      <c r="C2">
        <v>4253</v>
      </c>
      <c r="D2" t="s">
        <v>7</v>
      </c>
      <c r="E2">
        <v>800</v>
      </c>
      <c r="F2" t="str">
        <f>B2&amp;"-"&amp;C2&amp;"-"&amp;D2&amp;"-"&amp;E2</f>
        <v>LCC-4253-FN10-800</v>
      </c>
      <c r="G2" t="s">
        <v>80</v>
      </c>
      <c r="H2" t="s">
        <v>100</v>
      </c>
    </row>
    <row r="3" spans="1:8" x14ac:dyDescent="0.25">
      <c r="A3" t="s">
        <v>10</v>
      </c>
      <c r="B3" t="s">
        <v>12</v>
      </c>
      <c r="C3">
        <v>2611</v>
      </c>
      <c r="D3" t="s">
        <v>7</v>
      </c>
      <c r="E3">
        <v>800</v>
      </c>
      <c r="F3" t="str">
        <f>B3&amp;"-"&amp;C3&amp;"-"&amp;D3&amp;"-"&amp;E3</f>
        <v>LCC-2611-FN10-800</v>
      </c>
      <c r="G3" t="s">
        <v>86</v>
      </c>
      <c r="H3" t="s">
        <v>100</v>
      </c>
    </row>
    <row r="4" spans="1:8" x14ac:dyDescent="0.25">
      <c r="A4" t="s">
        <v>11</v>
      </c>
      <c r="B4" t="s">
        <v>12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LCC-LADDER TO REMOVE-0000-000</v>
      </c>
      <c r="G4" t="s">
        <v>92</v>
      </c>
      <c r="H4" t="s">
        <v>99</v>
      </c>
    </row>
    <row r="5" spans="1:8" x14ac:dyDescent="0.25">
      <c r="A5" t="s">
        <v>14</v>
      </c>
      <c r="B5" t="s">
        <v>12</v>
      </c>
      <c r="C5">
        <v>1960</v>
      </c>
      <c r="D5" s="2" t="s">
        <v>15</v>
      </c>
      <c r="E5" s="2" t="s">
        <v>16</v>
      </c>
      <c r="F5" t="str">
        <f>B5&amp;"-"&amp;C5&amp;"-"&amp;D5&amp;"-"&amp;E5</f>
        <v>LCC-1960-0000-000</v>
      </c>
      <c r="G5" t="s">
        <v>96</v>
      </c>
      <c r="H5" t="s">
        <v>99</v>
      </c>
    </row>
    <row r="6" spans="1:8" x14ac:dyDescent="0.25">
      <c r="A6" t="s">
        <v>17</v>
      </c>
      <c r="B6" t="s">
        <v>12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LCC-SWEEP-0000-000</v>
      </c>
      <c r="G6" t="s">
        <v>79</v>
      </c>
      <c r="H6" t="s">
        <v>99</v>
      </c>
    </row>
    <row r="7" spans="1:8" x14ac:dyDescent="0.25">
      <c r="A7" t="s">
        <v>19</v>
      </c>
      <c r="B7" t="s">
        <v>12</v>
      </c>
      <c r="C7">
        <v>1960</v>
      </c>
      <c r="D7" s="2" t="s">
        <v>15</v>
      </c>
      <c r="E7" s="2" t="s">
        <v>16</v>
      </c>
      <c r="F7" t="str">
        <f t="shared" si="0"/>
        <v>LCC-1960-0000-000</v>
      </c>
      <c r="G7" t="s">
        <v>96</v>
      </c>
      <c r="H7" t="s">
        <v>99</v>
      </c>
    </row>
    <row r="8" spans="1:8" x14ac:dyDescent="0.25">
      <c r="A8" t="s">
        <v>21</v>
      </c>
      <c r="B8" t="s">
        <v>12</v>
      </c>
      <c r="C8">
        <v>1960</v>
      </c>
      <c r="D8" s="2" t="s">
        <v>15</v>
      </c>
      <c r="E8" s="2" t="s">
        <v>16</v>
      </c>
      <c r="F8" t="str">
        <f t="shared" si="0"/>
        <v>LCC-1960-0000-000</v>
      </c>
      <c r="G8" t="s">
        <v>96</v>
      </c>
      <c r="H8" t="s">
        <v>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109E4-2E53-470F-9BD9-94EECC6C30DC}">
  <dimension ref="A1:H8"/>
  <sheetViews>
    <sheetView workbookViewId="0">
      <selection activeCell="E16" sqref="E16"/>
    </sheetView>
  </sheetViews>
  <sheetFormatPr defaultRowHeight="15" x14ac:dyDescent="0.25"/>
  <cols>
    <col min="1" max="1" width="30.140625" customWidth="1"/>
    <col min="2" max="5" width="27.42578125" customWidth="1"/>
    <col min="6" max="6" width="26" customWidth="1"/>
    <col min="7" max="7" width="13.5703125" customWidth="1"/>
    <col min="9" max="9" width="29.140625" customWidth="1"/>
  </cols>
  <sheetData>
    <row r="1" spans="1:8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H1" s="1" t="s">
        <v>98</v>
      </c>
    </row>
    <row r="2" spans="1:8" x14ac:dyDescent="0.25">
      <c r="A2" t="s">
        <v>9</v>
      </c>
      <c r="B2" t="s">
        <v>6</v>
      </c>
      <c r="C2">
        <v>4253</v>
      </c>
      <c r="D2" t="s">
        <v>7</v>
      </c>
      <c r="E2">
        <v>800</v>
      </c>
      <c r="F2" t="str">
        <f>B2&amp;"-"&amp;C2&amp;"-"&amp;D2&amp;"-"&amp;E2</f>
        <v>LCFHR-4253-FN10-800</v>
      </c>
      <c r="G2" t="s">
        <v>91</v>
      </c>
      <c r="H2" t="s">
        <v>100</v>
      </c>
    </row>
    <row r="3" spans="1:8" x14ac:dyDescent="0.25">
      <c r="A3" t="s">
        <v>10</v>
      </c>
      <c r="B3" t="s">
        <v>6</v>
      </c>
      <c r="C3">
        <v>2611</v>
      </c>
      <c r="D3" t="s">
        <v>7</v>
      </c>
      <c r="E3">
        <v>800</v>
      </c>
      <c r="F3" t="str">
        <f>B3&amp;"-"&amp;C3&amp;"-"&amp;D3&amp;"-"&amp;E3</f>
        <v>LCFHR-2611-FN10-800</v>
      </c>
      <c r="G3" t="s">
        <v>72</v>
      </c>
      <c r="H3" t="s">
        <v>100</v>
      </c>
    </row>
    <row r="4" spans="1:8" x14ac:dyDescent="0.25">
      <c r="A4" t="s">
        <v>11</v>
      </c>
      <c r="B4" t="s">
        <v>6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LCFHR-LADDER TO REMOVE-0000-000</v>
      </c>
      <c r="G4" t="s">
        <v>74</v>
      </c>
      <c r="H4" t="s">
        <v>99</v>
      </c>
    </row>
    <row r="5" spans="1:8" x14ac:dyDescent="0.25">
      <c r="A5" t="s">
        <v>14</v>
      </c>
      <c r="B5" t="s">
        <v>6</v>
      </c>
      <c r="C5">
        <v>1960</v>
      </c>
      <c r="D5" s="2" t="s">
        <v>15</v>
      </c>
      <c r="E5" s="2" t="s">
        <v>16</v>
      </c>
      <c r="F5" t="str">
        <f>B5&amp;"-"&amp;C5&amp;"-"&amp;D5&amp;"-"&amp;E5</f>
        <v>LCFHR-1960-0000-000</v>
      </c>
      <c r="G5" t="s">
        <v>97</v>
      </c>
      <c r="H5" t="s">
        <v>99</v>
      </c>
    </row>
    <row r="6" spans="1:8" x14ac:dyDescent="0.25">
      <c r="A6" t="s">
        <v>17</v>
      </c>
      <c r="B6" t="s">
        <v>6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LCFHR-SWEEP-0000-000</v>
      </c>
      <c r="G6" t="s">
        <v>87</v>
      </c>
      <c r="H6" t="s">
        <v>99</v>
      </c>
    </row>
    <row r="7" spans="1:8" x14ac:dyDescent="0.25">
      <c r="A7" t="s">
        <v>19</v>
      </c>
      <c r="B7" t="s">
        <v>6</v>
      </c>
      <c r="C7">
        <v>1960</v>
      </c>
      <c r="D7" s="2" t="s">
        <v>15</v>
      </c>
      <c r="E7" s="2" t="s">
        <v>16</v>
      </c>
      <c r="F7" t="str">
        <f t="shared" si="0"/>
        <v>LCFHR-1960-0000-000</v>
      </c>
      <c r="G7" t="s">
        <v>97</v>
      </c>
      <c r="H7" t="s">
        <v>99</v>
      </c>
    </row>
    <row r="8" spans="1:8" x14ac:dyDescent="0.25">
      <c r="A8" t="s">
        <v>21</v>
      </c>
      <c r="B8" t="s">
        <v>6</v>
      </c>
      <c r="C8">
        <v>1960</v>
      </c>
      <c r="D8" s="2" t="s">
        <v>15</v>
      </c>
      <c r="E8" s="2" t="s">
        <v>16</v>
      </c>
      <c r="F8" t="str">
        <f t="shared" si="0"/>
        <v>LCFHR-1960-0000-000</v>
      </c>
      <c r="G8" t="s">
        <v>97</v>
      </c>
      <c r="H8" t="s">
        <v>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BA64B-3F57-481B-A1A1-4477D739C8CE}">
  <dimension ref="A1:H8"/>
  <sheetViews>
    <sheetView workbookViewId="0">
      <selection activeCell="E14" sqref="E14"/>
    </sheetView>
  </sheetViews>
  <sheetFormatPr defaultRowHeight="15" x14ac:dyDescent="0.25"/>
  <cols>
    <col min="1" max="1" width="30.140625" customWidth="1"/>
    <col min="2" max="5" width="27.42578125" customWidth="1"/>
    <col min="6" max="6" width="26" customWidth="1"/>
    <col min="7" max="7" width="13.5703125" customWidth="1"/>
    <col min="9" max="9" width="27.85546875" customWidth="1"/>
  </cols>
  <sheetData>
    <row r="1" spans="1:8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H1" s="1" t="s">
        <v>98</v>
      </c>
    </row>
    <row r="2" spans="1:8" x14ac:dyDescent="0.25">
      <c r="A2" t="s">
        <v>9</v>
      </c>
      <c r="B2" t="s">
        <v>25</v>
      </c>
      <c r="C2">
        <v>4253</v>
      </c>
      <c r="D2" t="s">
        <v>7</v>
      </c>
      <c r="E2">
        <v>800</v>
      </c>
      <c r="F2" t="str">
        <f>B2&amp;"-"&amp;C2&amp;"-"&amp;D2&amp;"-"&amp;E2</f>
        <v>TUERI-4253-FN10-800</v>
      </c>
      <c r="G2" t="s">
        <v>81</v>
      </c>
      <c r="H2" t="s">
        <v>100</v>
      </c>
    </row>
    <row r="3" spans="1:8" x14ac:dyDescent="0.25">
      <c r="A3" t="s">
        <v>10</v>
      </c>
      <c r="B3" t="s">
        <v>25</v>
      </c>
      <c r="C3">
        <v>2611</v>
      </c>
      <c r="D3" t="s">
        <v>7</v>
      </c>
      <c r="E3">
        <v>800</v>
      </c>
      <c r="F3" t="str">
        <f>B3&amp;"-"&amp;C3&amp;"-"&amp;D3&amp;"-"&amp;E3</f>
        <v>TUERI-2611-FN10-800</v>
      </c>
      <c r="G3" t="s">
        <v>73</v>
      </c>
      <c r="H3" t="s">
        <v>100</v>
      </c>
    </row>
    <row r="4" spans="1:8" x14ac:dyDescent="0.25">
      <c r="A4" t="s">
        <v>11</v>
      </c>
      <c r="B4" t="s">
        <v>25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TUERI-LADDER TO REMOVE-0000-000</v>
      </c>
      <c r="G4" t="s">
        <v>94</v>
      </c>
      <c r="H4" t="s">
        <v>99</v>
      </c>
    </row>
    <row r="5" spans="1:8" x14ac:dyDescent="0.25">
      <c r="A5" t="s">
        <v>14</v>
      </c>
      <c r="B5" t="s">
        <v>25</v>
      </c>
      <c r="C5">
        <v>1960</v>
      </c>
      <c r="D5" s="2" t="s">
        <v>15</v>
      </c>
      <c r="E5" s="2" t="s">
        <v>16</v>
      </c>
      <c r="F5" t="str">
        <f>B5&amp;"-"&amp;C5&amp;"-"&amp;D5&amp;"-"&amp;E5</f>
        <v>TUERI-1960-0000-000</v>
      </c>
      <c r="G5" t="s">
        <v>88</v>
      </c>
      <c r="H5" t="s">
        <v>99</v>
      </c>
    </row>
    <row r="6" spans="1:8" x14ac:dyDescent="0.25">
      <c r="A6" t="s">
        <v>17</v>
      </c>
      <c r="B6" t="s">
        <v>25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TUERI-SWEEP-0000-000</v>
      </c>
      <c r="G6" t="s">
        <v>95</v>
      </c>
      <c r="H6" t="s">
        <v>99</v>
      </c>
    </row>
    <row r="7" spans="1:8" x14ac:dyDescent="0.25">
      <c r="A7" t="s">
        <v>19</v>
      </c>
      <c r="B7" t="s">
        <v>25</v>
      </c>
      <c r="C7">
        <v>1960</v>
      </c>
      <c r="D7" s="2" t="s">
        <v>15</v>
      </c>
      <c r="E7" s="2" t="s">
        <v>16</v>
      </c>
      <c r="F7" t="str">
        <f t="shared" si="0"/>
        <v>TUERI-1960-0000-000</v>
      </c>
      <c r="G7" t="s">
        <v>88</v>
      </c>
      <c r="H7" t="s">
        <v>99</v>
      </c>
    </row>
    <row r="8" spans="1:8" x14ac:dyDescent="0.25">
      <c r="A8" t="s">
        <v>21</v>
      </c>
      <c r="B8" t="s">
        <v>25</v>
      </c>
      <c r="C8">
        <v>1960</v>
      </c>
      <c r="D8" s="2" t="s">
        <v>15</v>
      </c>
      <c r="E8" s="2" t="s">
        <v>16</v>
      </c>
      <c r="F8" t="str">
        <f t="shared" si="0"/>
        <v>TUERI-1960-0000-000</v>
      </c>
      <c r="G8" t="s">
        <v>88</v>
      </c>
      <c r="H8" t="s">
        <v>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3DF6-35B2-4E83-8A8C-BA04784FEBA6}">
  <dimension ref="A1:H8"/>
  <sheetViews>
    <sheetView workbookViewId="0">
      <selection activeCell="F10" sqref="F10"/>
    </sheetView>
  </sheetViews>
  <sheetFormatPr defaultRowHeight="15" x14ac:dyDescent="0.25"/>
  <cols>
    <col min="1" max="1" width="30.140625" customWidth="1"/>
    <col min="2" max="5" width="27.42578125" customWidth="1"/>
    <col min="6" max="6" width="26" customWidth="1"/>
    <col min="7" max="7" width="13.5703125" customWidth="1"/>
    <col min="9" max="9" width="28.5703125" customWidth="1"/>
  </cols>
  <sheetData>
    <row r="1" spans="1:8" x14ac:dyDescent="0.25">
      <c r="A1" s="1" t="s">
        <v>0</v>
      </c>
      <c r="B1" t="s">
        <v>2</v>
      </c>
      <c r="C1" s="1" t="s">
        <v>3</v>
      </c>
      <c r="D1" s="1" t="s">
        <v>4</v>
      </c>
      <c r="E1" s="1" t="s">
        <v>5</v>
      </c>
      <c r="F1" t="s">
        <v>1</v>
      </c>
      <c r="G1" t="s">
        <v>8</v>
      </c>
      <c r="H1" s="1" t="s">
        <v>98</v>
      </c>
    </row>
    <row r="2" spans="1:8" x14ac:dyDescent="0.25">
      <c r="A2" t="s">
        <v>9</v>
      </c>
      <c r="B2" t="s">
        <v>20</v>
      </c>
      <c r="C2">
        <v>4253</v>
      </c>
      <c r="D2" t="s">
        <v>7</v>
      </c>
      <c r="E2">
        <v>800</v>
      </c>
      <c r="F2" t="str">
        <f>B2&amp;"-"&amp;C2&amp;"-"&amp;D2&amp;"-"&amp;E2</f>
        <v>LCREP-4253-FN10-800</v>
      </c>
      <c r="G2" t="s">
        <v>83</v>
      </c>
      <c r="H2" t="s">
        <v>100</v>
      </c>
    </row>
    <row r="3" spans="1:8" x14ac:dyDescent="0.25">
      <c r="A3" t="s">
        <v>10</v>
      </c>
      <c r="B3" t="s">
        <v>20</v>
      </c>
      <c r="C3">
        <v>2611</v>
      </c>
      <c r="D3" t="s">
        <v>7</v>
      </c>
      <c r="E3">
        <v>800</v>
      </c>
      <c r="F3" t="str">
        <f>B3&amp;"-"&amp;C3&amp;"-"&amp;D3&amp;"-"&amp;E3</f>
        <v>LCREP-2611-FN10-800</v>
      </c>
      <c r="G3" t="s">
        <v>82</v>
      </c>
      <c r="H3" t="s">
        <v>100</v>
      </c>
    </row>
    <row r="4" spans="1:8" x14ac:dyDescent="0.25">
      <c r="A4" t="s">
        <v>11</v>
      </c>
      <c r="B4" t="s">
        <v>20</v>
      </c>
      <c r="C4" t="s">
        <v>13</v>
      </c>
      <c r="D4" s="2" t="s">
        <v>15</v>
      </c>
      <c r="E4" s="2" t="s">
        <v>16</v>
      </c>
      <c r="F4" t="str">
        <f>B4&amp;"-"&amp;C4&amp;"-"&amp;D4&amp;"-"&amp;E4</f>
        <v>LCREP-LADDER TO REMOVE-0000-000</v>
      </c>
      <c r="G4" t="s">
        <v>93</v>
      </c>
      <c r="H4" t="s">
        <v>99</v>
      </c>
    </row>
    <row r="5" spans="1:8" x14ac:dyDescent="0.25">
      <c r="A5" t="s">
        <v>14</v>
      </c>
      <c r="B5" t="s">
        <v>20</v>
      </c>
      <c r="C5">
        <v>1960</v>
      </c>
      <c r="D5" s="2" t="s">
        <v>15</v>
      </c>
      <c r="E5" s="2" t="s">
        <v>16</v>
      </c>
      <c r="F5" t="str">
        <f>B5&amp;"-"&amp;C5&amp;"-"&amp;D5&amp;"-"&amp;E5</f>
        <v>LCREP-1960-0000-000</v>
      </c>
      <c r="G5" t="s">
        <v>90</v>
      </c>
      <c r="H5" t="s">
        <v>99</v>
      </c>
    </row>
    <row r="6" spans="1:8" x14ac:dyDescent="0.25">
      <c r="A6" t="s">
        <v>17</v>
      </c>
      <c r="B6" t="s">
        <v>20</v>
      </c>
      <c r="C6" t="s">
        <v>18</v>
      </c>
      <c r="D6" s="2" t="s">
        <v>15</v>
      </c>
      <c r="E6" s="2" t="s">
        <v>16</v>
      </c>
      <c r="F6" t="str">
        <f t="shared" ref="F6:F8" si="0">B6&amp;"-"&amp;C6&amp;"-"&amp;D6&amp;"-"&amp;E6</f>
        <v>LCREP-SWEEP-0000-000</v>
      </c>
      <c r="G6" t="s">
        <v>76</v>
      </c>
      <c r="H6" t="s">
        <v>99</v>
      </c>
    </row>
    <row r="7" spans="1:8" x14ac:dyDescent="0.25">
      <c r="A7" t="s">
        <v>19</v>
      </c>
      <c r="B7" t="s">
        <v>20</v>
      </c>
      <c r="C7">
        <v>1960</v>
      </c>
      <c r="D7" s="2" t="s">
        <v>15</v>
      </c>
      <c r="E7" s="2" t="s">
        <v>16</v>
      </c>
      <c r="F7" t="str">
        <f t="shared" si="0"/>
        <v>LCREP-1960-0000-000</v>
      </c>
      <c r="G7" t="s">
        <v>90</v>
      </c>
      <c r="H7" t="s">
        <v>99</v>
      </c>
    </row>
    <row r="8" spans="1:8" x14ac:dyDescent="0.25">
      <c r="A8" t="s">
        <v>21</v>
      </c>
      <c r="B8" t="s">
        <v>20</v>
      </c>
      <c r="C8">
        <v>1960</v>
      </c>
      <c r="D8" s="2" t="s">
        <v>15</v>
      </c>
      <c r="E8" s="2" t="s">
        <v>16</v>
      </c>
      <c r="F8" t="str">
        <f t="shared" si="0"/>
        <v>LCREP-1960-0000-000</v>
      </c>
      <c r="G8" t="s">
        <v>90</v>
      </c>
      <c r="H8" t="s">
        <v>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LCF</vt:lpstr>
      <vt:lpstr>LCREF</vt:lpstr>
      <vt:lpstr>LTRS1</vt:lpstr>
      <vt:lpstr>LCC</vt:lpstr>
      <vt:lpstr>LCFHR</vt:lpstr>
      <vt:lpstr>TUERI</vt:lpstr>
      <vt:lpstr>LCREP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Ray</dc:creator>
  <cp:lastModifiedBy>Matthew Ray</cp:lastModifiedBy>
  <dcterms:created xsi:type="dcterms:W3CDTF">2025-11-13T19:41:00Z</dcterms:created>
  <dcterms:modified xsi:type="dcterms:W3CDTF">2026-02-19T19:50:50Z</dcterms:modified>
</cp:coreProperties>
</file>